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M:\综合管理部\01 人力资源\1-招聘\工作交接\15.校园招聘\10-入职跟进\3.应届生提前学习资料\"/>
    </mc:Choice>
  </mc:AlternateContent>
  <xr:revisionPtr revIDLastSave="0" documentId="13_ncr:80001_{F8850C12-F908-45A5-9F28-D1CB0E08209C}" xr6:coauthVersionLast="36" xr6:coauthVersionMax="36" xr10:uidLastSave="{00000000-0000-0000-0000-000000000000}"/>
  <bookViews>
    <workbookView xWindow="0" yWindow="0" windowWidth="19200" windowHeight="5970" firstSheet="2" activeTab="4" xr2:uid="{00000000-000D-0000-FFFF-FFFF00000000}"/>
  </bookViews>
  <sheets>
    <sheet name="学员分组-二次确认参加" sheetId="1" state="hidden" r:id="rId1"/>
    <sheet name="学员积分明细(12.9备份)" sheetId="4" state="hidden" r:id="rId2"/>
    <sheet name="专业词汇必背-机械" sheetId="6" r:id="rId3"/>
    <sheet name="专业词汇必背-电气" sheetId="8" r:id="rId4"/>
    <sheet name="客户评审观点及问题-机械" sheetId="7" r:id="rId5"/>
    <sheet name="会议常用口语" sheetId="9" r:id="rId6"/>
    <sheet name="商务英语交流常用必背句子" sheetId="10" r:id="rId7"/>
  </sheets>
  <calcPr calcId="191029"/>
</workbook>
</file>

<file path=xl/calcChain.xml><?xml version="1.0" encoding="utf-8"?>
<calcChain xmlns="http://schemas.openxmlformats.org/spreadsheetml/2006/main">
  <c r="CC92" i="4" l="1"/>
  <c r="BU92" i="4"/>
  <c r="BT92" i="4"/>
  <c r="BM92" i="4"/>
  <c r="BJ92" i="4"/>
  <c r="BI92" i="4"/>
  <c r="BB92" i="4"/>
  <c r="AV92" i="4"/>
  <c r="AU92" i="4"/>
  <c r="AL92" i="4"/>
  <c r="AI92" i="4"/>
  <c r="AE92" i="4"/>
  <c r="AA92" i="4"/>
  <c r="U92" i="4"/>
  <c r="T92" i="4"/>
  <c r="M92" i="4"/>
  <c r="CE91" i="4"/>
  <c r="CD91" i="4"/>
  <c r="CC91" i="4"/>
  <c r="CB91" i="4"/>
  <c r="CA91" i="4"/>
  <c r="BU91" i="4"/>
  <c r="BT91" i="4"/>
  <c r="BS91" i="4"/>
  <c r="BR91" i="4"/>
  <c r="BQ91" i="4"/>
  <c r="BM91" i="4"/>
  <c r="BL91" i="4"/>
  <c r="BK91" i="4"/>
  <c r="BJ91" i="4"/>
  <c r="BI91" i="4"/>
  <c r="BE91" i="4"/>
  <c r="BD91" i="4"/>
  <c r="BC91" i="4"/>
  <c r="BB91" i="4"/>
  <c r="BA91" i="4"/>
  <c r="AW91" i="4"/>
  <c r="AV91" i="4"/>
  <c r="AU91" i="4"/>
  <c r="AT91" i="4"/>
  <c r="AS91" i="4"/>
  <c r="AM91" i="4"/>
  <c r="AL91" i="4"/>
  <c r="AK91" i="4"/>
  <c r="AJ91" i="4"/>
  <c r="AI91" i="4"/>
  <c r="AE91" i="4"/>
  <c r="AD91" i="4"/>
  <c r="AC91" i="4"/>
  <c r="AB91" i="4"/>
  <c r="AA91" i="4"/>
  <c r="W91" i="4"/>
  <c r="V91" i="4"/>
  <c r="U91" i="4"/>
  <c r="T91" i="4"/>
  <c r="S91" i="4"/>
  <c r="O91" i="4"/>
  <c r="N91" i="4"/>
  <c r="M91" i="4"/>
  <c r="L91" i="4"/>
  <c r="K91" i="4"/>
  <c r="CE90" i="4"/>
  <c r="CE92" i="4" s="1"/>
  <c r="CD90" i="4"/>
  <c r="CD92" i="4" s="1"/>
  <c r="CC90" i="4"/>
  <c r="CB90" i="4"/>
  <c r="CB92" i="4" s="1"/>
  <c r="CA90" i="4"/>
  <c r="CA92" i="4" s="1"/>
  <c r="BU90" i="4"/>
  <c r="BT90" i="4"/>
  <c r="BS90" i="4"/>
  <c r="BS92" i="4" s="1"/>
  <c r="BR90" i="4"/>
  <c r="BR92" i="4" s="1"/>
  <c r="BQ90" i="4"/>
  <c r="BQ92" i="4" s="1"/>
  <c r="BM90" i="4"/>
  <c r="BL90" i="4"/>
  <c r="BL92" i="4" s="1"/>
  <c r="BK90" i="4"/>
  <c r="BK92" i="4" s="1"/>
  <c r="BJ90" i="4"/>
  <c r="BI90" i="4"/>
  <c r="BE90" i="4"/>
  <c r="BE92" i="4" s="1"/>
  <c r="BD90" i="4"/>
  <c r="BD92" i="4" s="1"/>
  <c r="BC90" i="4"/>
  <c r="BC92" i="4" s="1"/>
  <c r="BB90" i="4"/>
  <c r="BA90" i="4"/>
  <c r="BA92" i="4" s="1"/>
  <c r="AW90" i="4"/>
  <c r="AW92" i="4" s="1"/>
  <c r="AV90" i="4"/>
  <c r="AU90" i="4"/>
  <c r="AT90" i="4"/>
  <c r="AT92" i="4" s="1"/>
  <c r="AS90" i="4"/>
  <c r="AS92" i="4" s="1"/>
  <c r="AM90" i="4"/>
  <c r="AM92" i="4" s="1"/>
  <c r="AL90" i="4"/>
  <c r="AK90" i="4"/>
  <c r="AK92" i="4" s="1"/>
  <c r="AJ90" i="4"/>
  <c r="AJ92" i="4" s="1"/>
  <c r="AI90" i="4"/>
  <c r="AE90" i="4"/>
  <c r="AD90" i="4"/>
  <c r="AD92" i="4" s="1"/>
  <c r="AC90" i="4"/>
  <c r="AC92" i="4" s="1"/>
  <c r="AB90" i="4"/>
  <c r="AB92" i="4" s="1"/>
  <c r="AA90" i="4"/>
  <c r="W90" i="4"/>
  <c r="W92" i="4" s="1"/>
  <c r="V90" i="4"/>
  <c r="V92" i="4" s="1"/>
  <c r="U90" i="4"/>
  <c r="T90" i="4"/>
  <c r="S90" i="4"/>
  <c r="S92" i="4" s="1"/>
  <c r="O90" i="4"/>
  <c r="O92" i="4" s="1"/>
  <c r="N90" i="4"/>
  <c r="N92" i="4" s="1"/>
  <c r="M90" i="4"/>
  <c r="L90" i="4"/>
  <c r="L92" i="4" s="1"/>
  <c r="K90" i="4"/>
  <c r="K92" i="4" s="1"/>
  <c r="BW89" i="4"/>
  <c r="BO89" i="4"/>
  <c r="BG89" i="4"/>
  <c r="AY89" i="4"/>
  <c r="BY89" i="4" s="1"/>
  <c r="AO89" i="4"/>
  <c r="AG89" i="4"/>
  <c r="Y89" i="4"/>
  <c r="Q89" i="4"/>
  <c r="BW88" i="4"/>
  <c r="BO88" i="4"/>
  <c r="BG88" i="4"/>
  <c r="AY88" i="4"/>
  <c r="BY88" i="4" s="1"/>
  <c r="AO88" i="4"/>
  <c r="AG88" i="4"/>
  <c r="Y88" i="4"/>
  <c r="Q88" i="4"/>
  <c r="AR88" i="4" s="1"/>
  <c r="BY87" i="4"/>
  <c r="BW87" i="4"/>
  <c r="BO87" i="4"/>
  <c r="BG87" i="4"/>
  <c r="AY87" i="4"/>
  <c r="AO87" i="4"/>
  <c r="AG87" i="4"/>
  <c r="Y87" i="4"/>
  <c r="Q87" i="4"/>
  <c r="AR87" i="4" s="1"/>
  <c r="J87" i="4" s="1"/>
  <c r="BW86" i="4"/>
  <c r="BO86" i="4"/>
  <c r="BG86" i="4"/>
  <c r="AY86" i="4"/>
  <c r="BY86" i="4" s="1"/>
  <c r="AR86" i="4"/>
  <c r="AO86" i="4"/>
  <c r="AG86" i="4"/>
  <c r="Y86" i="4"/>
  <c r="Q86" i="4"/>
  <c r="BW85" i="4"/>
  <c r="BO85" i="4"/>
  <c r="BG85" i="4"/>
  <c r="AY85" i="4"/>
  <c r="AO85" i="4"/>
  <c r="AG85" i="4"/>
  <c r="Y85" i="4"/>
  <c r="AR85" i="4" s="1"/>
  <c r="Q85" i="4"/>
  <c r="BY84" i="4"/>
  <c r="BW84" i="4"/>
  <c r="BO84" i="4"/>
  <c r="BG84" i="4"/>
  <c r="AY84" i="4"/>
  <c r="AO84" i="4"/>
  <c r="AG84" i="4"/>
  <c r="Y84" i="4"/>
  <c r="Q84" i="4"/>
  <c r="AR84" i="4" s="1"/>
  <c r="J84" i="4" s="1"/>
  <c r="BW83" i="4"/>
  <c r="BO83" i="4"/>
  <c r="BG83" i="4"/>
  <c r="AY83" i="4"/>
  <c r="BY83" i="4" s="1"/>
  <c r="AR83" i="4"/>
  <c r="J83" i="4" s="1"/>
  <c r="AO83" i="4"/>
  <c r="AG83" i="4"/>
  <c r="Y83" i="4"/>
  <c r="Q83" i="4"/>
  <c r="BW82" i="4"/>
  <c r="BO82" i="4"/>
  <c r="BG82" i="4"/>
  <c r="AY82" i="4"/>
  <c r="AO82" i="4"/>
  <c r="AG82" i="4"/>
  <c r="Y82" i="4"/>
  <c r="Q82" i="4"/>
  <c r="AR82" i="4" s="1"/>
  <c r="BW81" i="4"/>
  <c r="BO81" i="4"/>
  <c r="BG81" i="4"/>
  <c r="AY81" i="4"/>
  <c r="BY81" i="4" s="1"/>
  <c r="AO81" i="4"/>
  <c r="AG81" i="4"/>
  <c r="Y81" i="4"/>
  <c r="Q81" i="4"/>
  <c r="BW80" i="4"/>
  <c r="BO80" i="4"/>
  <c r="BG80" i="4"/>
  <c r="AY80" i="4"/>
  <c r="AO80" i="4"/>
  <c r="AG80" i="4"/>
  <c r="Y80" i="4"/>
  <c r="Q80" i="4"/>
  <c r="AR80" i="4" s="1"/>
  <c r="BW79" i="4"/>
  <c r="BY79" i="4" s="1"/>
  <c r="BO79" i="4"/>
  <c r="BG79" i="4"/>
  <c r="AY79" i="4"/>
  <c r="AO79" i="4"/>
  <c r="AG79" i="4"/>
  <c r="Y79" i="4"/>
  <c r="Q79" i="4"/>
  <c r="BW78" i="4"/>
  <c r="BO78" i="4"/>
  <c r="BG78" i="4"/>
  <c r="AY78" i="4"/>
  <c r="BY78" i="4" s="1"/>
  <c r="AR78" i="4"/>
  <c r="J78" i="4" s="1"/>
  <c r="AO78" i="4"/>
  <c r="AG78" i="4"/>
  <c r="Y78" i="4"/>
  <c r="Q78" i="4"/>
  <c r="BW77" i="4"/>
  <c r="BO77" i="4"/>
  <c r="BG77" i="4"/>
  <c r="AY77" i="4"/>
  <c r="BY77" i="4" s="1"/>
  <c r="J77" i="4" s="1"/>
  <c r="AO77" i="4"/>
  <c r="AG77" i="4"/>
  <c r="Y77" i="4"/>
  <c r="Q77" i="4"/>
  <c r="AR77" i="4" s="1"/>
  <c r="BY76" i="4"/>
  <c r="BW76" i="4"/>
  <c r="BO76" i="4"/>
  <c r="BG76" i="4"/>
  <c r="AY76" i="4"/>
  <c r="AO76" i="4"/>
  <c r="AG76" i="4"/>
  <c r="Y76" i="4"/>
  <c r="Q76" i="4"/>
  <c r="BW75" i="4"/>
  <c r="BO75" i="4"/>
  <c r="BG75" i="4"/>
  <c r="AY75" i="4"/>
  <c r="BY75" i="4" s="1"/>
  <c r="AR75" i="4"/>
  <c r="AO75" i="4"/>
  <c r="AG75" i="4"/>
  <c r="Y75" i="4"/>
  <c r="Q75" i="4"/>
  <c r="BW74" i="4"/>
  <c r="BO74" i="4"/>
  <c r="BG74" i="4"/>
  <c r="AY74" i="4"/>
  <c r="AO74" i="4"/>
  <c r="AG74" i="4"/>
  <c r="Y74" i="4"/>
  <c r="Q74" i="4"/>
  <c r="AR74" i="4" s="1"/>
  <c r="BW73" i="4"/>
  <c r="BO73" i="4"/>
  <c r="BG73" i="4"/>
  <c r="AY73" i="4"/>
  <c r="BY73" i="4" s="1"/>
  <c r="AO73" i="4"/>
  <c r="AG73" i="4"/>
  <c r="Y73" i="4"/>
  <c r="Q73" i="4"/>
  <c r="BW72" i="4"/>
  <c r="BO72" i="4"/>
  <c r="BG72" i="4"/>
  <c r="AY72" i="4"/>
  <c r="BY72" i="4" s="1"/>
  <c r="AO72" i="4"/>
  <c r="AG72" i="4"/>
  <c r="Y72" i="4"/>
  <c r="Q72" i="4"/>
  <c r="AR72" i="4" s="1"/>
  <c r="J72" i="4" s="1"/>
  <c r="BY71" i="4"/>
  <c r="BW71" i="4"/>
  <c r="BO71" i="4"/>
  <c r="BG71" i="4"/>
  <c r="AY71" i="4"/>
  <c r="AO71" i="4"/>
  <c r="AG71" i="4"/>
  <c r="Y71" i="4"/>
  <c r="Q71" i="4"/>
  <c r="AR71" i="4" s="1"/>
  <c r="J71" i="4" s="1"/>
  <c r="BW70" i="4"/>
  <c r="BO70" i="4"/>
  <c r="BG70" i="4"/>
  <c r="AY70" i="4"/>
  <c r="BY70" i="4" s="1"/>
  <c r="AO70" i="4"/>
  <c r="AR70" i="4" s="1"/>
  <c r="J70" i="4" s="1"/>
  <c r="AG70" i="4"/>
  <c r="Y70" i="4"/>
  <c r="Q70" i="4"/>
  <c r="BW69" i="4"/>
  <c r="BO69" i="4"/>
  <c r="BG69" i="4"/>
  <c r="AY69" i="4"/>
  <c r="AO69" i="4"/>
  <c r="AG69" i="4"/>
  <c r="Y69" i="4"/>
  <c r="Q69" i="4"/>
  <c r="AR69" i="4" s="1"/>
  <c r="BY68" i="4"/>
  <c r="BW68" i="4"/>
  <c r="BO68" i="4"/>
  <c r="BG68" i="4"/>
  <c r="AY68" i="4"/>
  <c r="AO68" i="4"/>
  <c r="AG68" i="4"/>
  <c r="Y68" i="4"/>
  <c r="Q68" i="4"/>
  <c r="BW67" i="4"/>
  <c r="BO67" i="4"/>
  <c r="BG67" i="4"/>
  <c r="AY67" i="4"/>
  <c r="BY67" i="4" s="1"/>
  <c r="AR67" i="4"/>
  <c r="AO67" i="4"/>
  <c r="AG67" i="4"/>
  <c r="Y67" i="4"/>
  <c r="Q67" i="4"/>
  <c r="BW66" i="4"/>
  <c r="BO66" i="4"/>
  <c r="BG66" i="4"/>
  <c r="BY66" i="4" s="1"/>
  <c r="AY66" i="4"/>
  <c r="AO66" i="4"/>
  <c r="AG66" i="4"/>
  <c r="Y66" i="4"/>
  <c r="Q66" i="4"/>
  <c r="AR66" i="4" s="1"/>
  <c r="BW65" i="4"/>
  <c r="BO65" i="4"/>
  <c r="BG65" i="4"/>
  <c r="BY65" i="4" s="1"/>
  <c r="AY65" i="4"/>
  <c r="AO65" i="4"/>
  <c r="AG65" i="4"/>
  <c r="Y65" i="4"/>
  <c r="AR65" i="4" s="1"/>
  <c r="Q65" i="4"/>
  <c r="BW64" i="4"/>
  <c r="BO64" i="4"/>
  <c r="BG64" i="4"/>
  <c r="AY64" i="4"/>
  <c r="AO64" i="4"/>
  <c r="AG64" i="4"/>
  <c r="Y64" i="4"/>
  <c r="AR64" i="4" s="1"/>
  <c r="Q64" i="4"/>
  <c r="BW63" i="4"/>
  <c r="BY63" i="4" s="1"/>
  <c r="BO63" i="4"/>
  <c r="BG63" i="4"/>
  <c r="AY63" i="4"/>
  <c r="AO63" i="4"/>
  <c r="AG63" i="4"/>
  <c r="Y63" i="4"/>
  <c r="Q63" i="4"/>
  <c r="AR63" i="4" s="1"/>
  <c r="BW62" i="4"/>
  <c r="BO62" i="4"/>
  <c r="BG62" i="4"/>
  <c r="AY62" i="4"/>
  <c r="BY62" i="4" s="1"/>
  <c r="AO62" i="4"/>
  <c r="AR62" i="4" s="1"/>
  <c r="J62" i="4" s="1"/>
  <c r="AG62" i="4"/>
  <c r="Y62" i="4"/>
  <c r="Q62" i="4"/>
  <c r="BW61" i="4"/>
  <c r="BO61" i="4"/>
  <c r="BG61" i="4"/>
  <c r="AY61" i="4"/>
  <c r="AO61" i="4"/>
  <c r="AG61" i="4"/>
  <c r="Y61" i="4"/>
  <c r="Q61" i="4"/>
  <c r="AR61" i="4" s="1"/>
  <c r="BY60" i="4"/>
  <c r="BW60" i="4"/>
  <c r="BO60" i="4"/>
  <c r="BG60" i="4"/>
  <c r="AY60" i="4"/>
  <c r="AO60" i="4"/>
  <c r="AG60" i="4"/>
  <c r="Y60" i="4"/>
  <c r="Q60" i="4"/>
  <c r="BW59" i="4"/>
  <c r="BO59" i="4"/>
  <c r="BG59" i="4"/>
  <c r="AY59" i="4"/>
  <c r="BY59" i="4" s="1"/>
  <c r="AR59" i="4"/>
  <c r="J59" i="4" s="1"/>
  <c r="AO59" i="4"/>
  <c r="AG59" i="4"/>
  <c r="Y59" i="4"/>
  <c r="Q59" i="4"/>
  <c r="BW58" i="4"/>
  <c r="BO58" i="4"/>
  <c r="BG58" i="4"/>
  <c r="AY58" i="4"/>
  <c r="AO58" i="4"/>
  <c r="AG58" i="4"/>
  <c r="Y58" i="4"/>
  <c r="Q58" i="4"/>
  <c r="AR58" i="4" s="1"/>
  <c r="BW57" i="4"/>
  <c r="BO57" i="4"/>
  <c r="BG57" i="4"/>
  <c r="BY57" i="4" s="1"/>
  <c r="AY57" i="4"/>
  <c r="AO57" i="4"/>
  <c r="AG57" i="4"/>
  <c r="Y57" i="4"/>
  <c r="Q57" i="4"/>
  <c r="BW56" i="4"/>
  <c r="BO56" i="4"/>
  <c r="BG56" i="4"/>
  <c r="AY56" i="4"/>
  <c r="BY56" i="4" s="1"/>
  <c r="AO56" i="4"/>
  <c r="AG56" i="4"/>
  <c r="Y56" i="4"/>
  <c r="AR56" i="4" s="1"/>
  <c r="Q56" i="4"/>
  <c r="BY55" i="4"/>
  <c r="BW55" i="4"/>
  <c r="BO55" i="4"/>
  <c r="BG55" i="4"/>
  <c r="AY55" i="4"/>
  <c r="AO55" i="4"/>
  <c r="AG55" i="4"/>
  <c r="Y55" i="4"/>
  <c r="Q55" i="4"/>
  <c r="AR55" i="4" s="1"/>
  <c r="J55" i="4" s="1"/>
  <c r="BW54" i="4"/>
  <c r="BO54" i="4"/>
  <c r="BG54" i="4"/>
  <c r="AY54" i="4"/>
  <c r="BY54" i="4" s="1"/>
  <c r="AR54" i="4"/>
  <c r="AO54" i="4"/>
  <c r="AG54" i="4"/>
  <c r="Y54" i="4"/>
  <c r="Q54" i="4"/>
  <c r="BW53" i="4"/>
  <c r="BO53" i="4"/>
  <c r="BG53" i="4"/>
  <c r="AY53" i="4"/>
  <c r="AO53" i="4"/>
  <c r="AG53" i="4"/>
  <c r="Y53" i="4"/>
  <c r="Q53" i="4"/>
  <c r="AR53" i="4" s="1"/>
  <c r="BY52" i="4"/>
  <c r="BW52" i="4"/>
  <c r="BO52" i="4"/>
  <c r="BG52" i="4"/>
  <c r="AY52" i="4"/>
  <c r="AO52" i="4"/>
  <c r="AG52" i="4"/>
  <c r="Y52" i="4"/>
  <c r="Q52" i="4"/>
  <c r="AR52" i="4" s="1"/>
  <c r="J52" i="4" s="1"/>
  <c r="BW51" i="4"/>
  <c r="BO51" i="4"/>
  <c r="BG51" i="4"/>
  <c r="AY51" i="4"/>
  <c r="BY51" i="4" s="1"/>
  <c r="AO51" i="4"/>
  <c r="AG51" i="4"/>
  <c r="Y51" i="4"/>
  <c r="Q51" i="4"/>
  <c r="AR51" i="4" s="1"/>
  <c r="J51" i="4" s="1"/>
  <c r="BW50" i="4"/>
  <c r="BO50" i="4"/>
  <c r="BG50" i="4"/>
  <c r="AY50" i="4"/>
  <c r="AO50" i="4"/>
  <c r="AG50" i="4"/>
  <c r="Y50" i="4"/>
  <c r="Q50" i="4"/>
  <c r="AR50" i="4" s="1"/>
  <c r="BW49" i="4"/>
  <c r="BO49" i="4"/>
  <c r="BG49" i="4"/>
  <c r="BY49" i="4" s="1"/>
  <c r="AY49" i="4"/>
  <c r="AO49" i="4"/>
  <c r="AG49" i="4"/>
  <c r="Y49" i="4"/>
  <c r="AR49" i="4" s="1"/>
  <c r="J49" i="4" s="1"/>
  <c r="Q49" i="4"/>
  <c r="BY48" i="4"/>
  <c r="BW48" i="4"/>
  <c r="BO48" i="4"/>
  <c r="BG48" i="4"/>
  <c r="AY48" i="4"/>
  <c r="AO48" i="4"/>
  <c r="AG48" i="4"/>
  <c r="Y48" i="4"/>
  <c r="AR48" i="4" s="1"/>
  <c r="J48" i="4" s="1"/>
  <c r="Q48" i="4"/>
  <c r="BW47" i="4"/>
  <c r="BY47" i="4" s="1"/>
  <c r="BO47" i="4"/>
  <c r="BG47" i="4"/>
  <c r="AY47" i="4"/>
  <c r="AR47" i="4"/>
  <c r="AO47" i="4"/>
  <c r="AG47" i="4"/>
  <c r="Y47" i="4"/>
  <c r="Q47" i="4"/>
  <c r="BW46" i="4"/>
  <c r="BO46" i="4"/>
  <c r="BG46" i="4"/>
  <c r="AY46" i="4"/>
  <c r="BY46" i="4" s="1"/>
  <c r="AR46" i="4"/>
  <c r="J46" i="4" s="1"/>
  <c r="AO46" i="4"/>
  <c r="AG46" i="4"/>
  <c r="Y46" i="4"/>
  <c r="Q46" i="4"/>
  <c r="BW45" i="4"/>
  <c r="BO45" i="4"/>
  <c r="BG45" i="4"/>
  <c r="AY45" i="4"/>
  <c r="AO45" i="4"/>
  <c r="AG45" i="4"/>
  <c r="Y45" i="4"/>
  <c r="Q45" i="4"/>
  <c r="BY44" i="4"/>
  <c r="BW44" i="4"/>
  <c r="BO44" i="4"/>
  <c r="BG44" i="4"/>
  <c r="AY44" i="4"/>
  <c r="AO44" i="4"/>
  <c r="AG44" i="4"/>
  <c r="Y44" i="4"/>
  <c r="Q44" i="4"/>
  <c r="AR44" i="4" s="1"/>
  <c r="J44" i="4" s="1"/>
  <c r="BW43" i="4"/>
  <c r="BO43" i="4"/>
  <c r="BG43" i="4"/>
  <c r="AY43" i="4"/>
  <c r="AO43" i="4"/>
  <c r="AG43" i="4"/>
  <c r="Y43" i="4"/>
  <c r="Q43" i="4"/>
  <c r="AR43" i="4" s="1"/>
  <c r="BW42" i="4"/>
  <c r="BO42" i="4"/>
  <c r="BG42" i="4"/>
  <c r="BY42" i="4" s="1"/>
  <c r="AY42" i="4"/>
  <c r="AO42" i="4"/>
  <c r="AG42" i="4"/>
  <c r="Y42" i="4"/>
  <c r="Q42" i="4"/>
  <c r="AR42" i="4" s="1"/>
  <c r="J42" i="4" s="1"/>
  <c r="BW41" i="4"/>
  <c r="BO41" i="4"/>
  <c r="BG41" i="4"/>
  <c r="BY41" i="4" s="1"/>
  <c r="AY41" i="4"/>
  <c r="AO41" i="4"/>
  <c r="AG41" i="4"/>
  <c r="Y41" i="4"/>
  <c r="Q41" i="4"/>
  <c r="BW40" i="4"/>
  <c r="BO40" i="4"/>
  <c r="BG40" i="4"/>
  <c r="AY40" i="4"/>
  <c r="BY40" i="4" s="1"/>
  <c r="AO40" i="4"/>
  <c r="AG40" i="4"/>
  <c r="Y40" i="4"/>
  <c r="AR40" i="4" s="1"/>
  <c r="Q40" i="4"/>
  <c r="BY39" i="4"/>
  <c r="BW39" i="4"/>
  <c r="BO39" i="4"/>
  <c r="BG39" i="4"/>
  <c r="AY39" i="4"/>
  <c r="AR39" i="4"/>
  <c r="J39" i="4" s="1"/>
  <c r="AO39" i="4"/>
  <c r="AG39" i="4"/>
  <c r="Y39" i="4"/>
  <c r="Q39" i="4"/>
  <c r="BW38" i="4"/>
  <c r="BO38" i="4"/>
  <c r="BG38" i="4"/>
  <c r="AY38" i="4"/>
  <c r="AO38" i="4"/>
  <c r="AR38" i="4" s="1"/>
  <c r="AG38" i="4"/>
  <c r="Y38" i="4"/>
  <c r="Q38" i="4"/>
  <c r="BW37" i="4"/>
  <c r="BO37" i="4"/>
  <c r="BG37" i="4"/>
  <c r="AY37" i="4"/>
  <c r="AO37" i="4"/>
  <c r="AG37" i="4"/>
  <c r="Y37" i="4"/>
  <c r="Q37" i="4"/>
  <c r="AR37" i="4" s="1"/>
  <c r="BY36" i="4"/>
  <c r="J36" i="4" s="1"/>
  <c r="AY36" i="4"/>
  <c r="Q36" i="4"/>
  <c r="AR36" i="4" s="1"/>
  <c r="BW35" i="4"/>
  <c r="BO35" i="4"/>
  <c r="BG35" i="4"/>
  <c r="AY35" i="4"/>
  <c r="BY35" i="4" s="1"/>
  <c r="AO35" i="4"/>
  <c r="AG35" i="4"/>
  <c r="Y35" i="4"/>
  <c r="Q35" i="4"/>
  <c r="AR35" i="4" s="1"/>
  <c r="J35" i="4" s="1"/>
  <c r="BW34" i="4"/>
  <c r="BO34" i="4"/>
  <c r="BG34" i="4"/>
  <c r="AY34" i="4"/>
  <c r="BY34" i="4" s="1"/>
  <c r="AO34" i="4"/>
  <c r="AG34" i="4"/>
  <c r="Y34" i="4"/>
  <c r="Q34" i="4"/>
  <c r="BW33" i="4"/>
  <c r="BO33" i="4"/>
  <c r="BG33" i="4"/>
  <c r="AY33" i="4"/>
  <c r="AO33" i="4"/>
  <c r="AG33" i="4"/>
  <c r="Y33" i="4"/>
  <c r="Q33" i="4"/>
  <c r="AR33" i="4" s="1"/>
  <c r="BW32" i="4"/>
  <c r="BO32" i="4"/>
  <c r="BG32" i="4"/>
  <c r="AY32" i="4"/>
  <c r="AO32" i="4"/>
  <c r="AG32" i="4"/>
  <c r="Y32" i="4"/>
  <c r="Q32" i="4"/>
  <c r="AR32" i="4" s="1"/>
  <c r="BW31" i="4"/>
  <c r="BO31" i="4"/>
  <c r="BG31" i="4"/>
  <c r="BY31" i="4" s="1"/>
  <c r="AY31" i="4"/>
  <c r="AO31" i="4"/>
  <c r="AG31" i="4"/>
  <c r="Y31" i="4"/>
  <c r="AR31" i="4" s="1"/>
  <c r="J31" i="4" s="1"/>
  <c r="Q31" i="4"/>
  <c r="BW30" i="4"/>
  <c r="BO30" i="4"/>
  <c r="BG30" i="4"/>
  <c r="BY30" i="4" s="1"/>
  <c r="AY30" i="4"/>
  <c r="AO30" i="4"/>
  <c r="AG30" i="4"/>
  <c r="Y30" i="4"/>
  <c r="AR30" i="4" s="1"/>
  <c r="J30" i="4" s="1"/>
  <c r="Q30" i="4"/>
  <c r="BW29" i="4"/>
  <c r="BY29" i="4" s="1"/>
  <c r="BO29" i="4"/>
  <c r="BG29" i="4"/>
  <c r="AY29" i="4"/>
  <c r="AR29" i="4"/>
  <c r="J29" i="4" s="1"/>
  <c r="AO29" i="4"/>
  <c r="AG29" i="4"/>
  <c r="Y29" i="4"/>
  <c r="Q29" i="4"/>
  <c r="BW28" i="4"/>
  <c r="BO28" i="4"/>
  <c r="BG28" i="4"/>
  <c r="AY28" i="4"/>
  <c r="BY28" i="4" s="1"/>
  <c r="AR28" i="4"/>
  <c r="J28" i="4" s="1"/>
  <c r="AO28" i="4"/>
  <c r="AG28" i="4"/>
  <c r="Y28" i="4"/>
  <c r="Q28" i="4"/>
  <c r="AY27" i="4"/>
  <c r="BY27" i="4" s="1"/>
  <c r="Q27" i="4"/>
  <c r="AR27" i="4" s="1"/>
  <c r="J27" i="4" s="1"/>
  <c r="BW26" i="4"/>
  <c r="BO26" i="4"/>
  <c r="BG26" i="4"/>
  <c r="AY26" i="4"/>
  <c r="BY26" i="4" s="1"/>
  <c r="AO26" i="4"/>
  <c r="AR26" i="4" s="1"/>
  <c r="J26" i="4" s="1"/>
  <c r="AG26" i="4"/>
  <c r="Y26" i="4"/>
  <c r="Q26" i="4"/>
  <c r="BW25" i="4"/>
  <c r="BO25" i="4"/>
  <c r="BG25" i="4"/>
  <c r="AY25" i="4"/>
  <c r="AO25" i="4"/>
  <c r="AG25" i="4"/>
  <c r="Y25" i="4"/>
  <c r="Q25" i="4"/>
  <c r="BY24" i="4"/>
  <c r="BW24" i="4"/>
  <c r="BO24" i="4"/>
  <c r="BG24" i="4"/>
  <c r="AY24" i="4"/>
  <c r="AO24" i="4"/>
  <c r="AG24" i="4"/>
  <c r="Y24" i="4"/>
  <c r="Q24" i="4"/>
  <c r="AR24" i="4" s="1"/>
  <c r="J24" i="4" s="1"/>
  <c r="BW23" i="4"/>
  <c r="BO23" i="4"/>
  <c r="BG23" i="4"/>
  <c r="AY23" i="4"/>
  <c r="BY23" i="4" s="1"/>
  <c r="AR23" i="4"/>
  <c r="AO23" i="4"/>
  <c r="AG23" i="4"/>
  <c r="Y23" i="4"/>
  <c r="Q23" i="4"/>
  <c r="BW22" i="4"/>
  <c r="BO22" i="4"/>
  <c r="BG22" i="4"/>
  <c r="BY22" i="4" s="1"/>
  <c r="AY22" i="4"/>
  <c r="AO22" i="4"/>
  <c r="AG22" i="4"/>
  <c r="Y22" i="4"/>
  <c r="Q22" i="4"/>
  <c r="BW21" i="4"/>
  <c r="BO21" i="4"/>
  <c r="BG21" i="4"/>
  <c r="BY21" i="4" s="1"/>
  <c r="AY21" i="4"/>
  <c r="AO21" i="4"/>
  <c r="AG21" i="4"/>
  <c r="Y21" i="4"/>
  <c r="Q21" i="4"/>
  <c r="BY20" i="4"/>
  <c r="BW20" i="4"/>
  <c r="BO20" i="4"/>
  <c r="BG20" i="4"/>
  <c r="AY20" i="4"/>
  <c r="AO20" i="4"/>
  <c r="AG20" i="4"/>
  <c r="Y20" i="4"/>
  <c r="AR20" i="4" s="1"/>
  <c r="Q20" i="4"/>
  <c r="BY19" i="4"/>
  <c r="BW19" i="4"/>
  <c r="BO19" i="4"/>
  <c r="BG19" i="4"/>
  <c r="AY19" i="4"/>
  <c r="AO19" i="4"/>
  <c r="AG19" i="4"/>
  <c r="Y19" i="4"/>
  <c r="Q19" i="4"/>
  <c r="BW18" i="4"/>
  <c r="BO18" i="4"/>
  <c r="BG18" i="4"/>
  <c r="AY18" i="4"/>
  <c r="AO18" i="4"/>
  <c r="AR18" i="4" s="1"/>
  <c r="AG18" i="4"/>
  <c r="Y18" i="4"/>
  <c r="Q18" i="4"/>
  <c r="BW17" i="4"/>
  <c r="BO17" i="4"/>
  <c r="BG17" i="4"/>
  <c r="AY17" i="4"/>
  <c r="BY17" i="4" s="1"/>
  <c r="AO17" i="4"/>
  <c r="AG17" i="4"/>
  <c r="Y17" i="4"/>
  <c r="Q17" i="4"/>
  <c r="BW16" i="4"/>
  <c r="BO16" i="4"/>
  <c r="BG16" i="4"/>
  <c r="AY16" i="4"/>
  <c r="BY16" i="4" s="1"/>
  <c r="AO16" i="4"/>
  <c r="AG16" i="4"/>
  <c r="Y16" i="4"/>
  <c r="Q16" i="4"/>
  <c r="BW15" i="4"/>
  <c r="BO15" i="4"/>
  <c r="BG15" i="4"/>
  <c r="AY15" i="4"/>
  <c r="BY15" i="4" s="1"/>
  <c r="AO15" i="4"/>
  <c r="AG15" i="4"/>
  <c r="Y15" i="4"/>
  <c r="Q15" i="4"/>
  <c r="AR15" i="4" s="1"/>
  <c r="J15" i="4" s="1"/>
  <c r="BW14" i="4"/>
  <c r="BO14" i="4"/>
  <c r="BG14" i="4"/>
  <c r="AY14" i="4"/>
  <c r="AO14" i="4"/>
  <c r="AG14" i="4"/>
  <c r="Y14" i="4"/>
  <c r="Q14" i="4"/>
  <c r="BW13" i="4"/>
  <c r="BO13" i="4"/>
  <c r="BG13" i="4"/>
  <c r="BY13" i="4" s="1"/>
  <c r="AY13" i="4"/>
  <c r="AO13" i="4"/>
  <c r="AG13" i="4"/>
  <c r="Y13" i="4"/>
  <c r="Q13" i="4"/>
  <c r="BW12" i="4"/>
  <c r="BO12" i="4"/>
  <c r="BG12" i="4"/>
  <c r="AY12" i="4"/>
  <c r="BY12" i="4" s="1"/>
  <c r="AO12" i="4"/>
  <c r="AG12" i="4"/>
  <c r="Y12" i="4"/>
  <c r="AR12" i="4" s="1"/>
  <c r="Q12" i="4"/>
  <c r="BY11" i="4"/>
  <c r="BW11" i="4"/>
  <c r="BO11" i="4"/>
  <c r="BG11" i="4"/>
  <c r="AY11" i="4"/>
  <c r="AO11" i="4"/>
  <c r="AG11" i="4"/>
  <c r="Y11" i="4"/>
  <c r="AR11" i="4" s="1"/>
  <c r="J11" i="4" s="1"/>
  <c r="Q11" i="4"/>
  <c r="BW10" i="4"/>
  <c r="BO10" i="4"/>
  <c r="BG10" i="4"/>
  <c r="AY10" i="4"/>
  <c r="AO10" i="4"/>
  <c r="AR10" i="4" s="1"/>
  <c r="AG10" i="4"/>
  <c r="Y10" i="4"/>
  <c r="Q10" i="4"/>
  <c r="BW9" i="4"/>
  <c r="BO9" i="4"/>
  <c r="BG9" i="4"/>
  <c r="AY9" i="4"/>
  <c r="BY9" i="4" s="1"/>
  <c r="AO9" i="4"/>
  <c r="AG9" i="4"/>
  <c r="Y9" i="4"/>
  <c r="Q9" i="4"/>
  <c r="AR9" i="4" s="1"/>
  <c r="J9" i="4" s="1"/>
  <c r="BY8" i="4"/>
  <c r="BW8" i="4"/>
  <c r="BO8" i="4"/>
  <c r="BG8" i="4"/>
  <c r="AY8" i="4"/>
  <c r="AO8" i="4"/>
  <c r="AG8" i="4"/>
  <c r="Y8" i="4"/>
  <c r="Q8" i="4"/>
  <c r="BW7" i="4"/>
  <c r="BO7" i="4"/>
  <c r="BG7" i="4"/>
  <c r="AY7" i="4"/>
  <c r="AO7" i="4"/>
  <c r="AG7" i="4"/>
  <c r="Y7" i="4"/>
  <c r="Q7" i="4"/>
  <c r="AR7" i="4" s="1"/>
  <c r="BW6" i="4"/>
  <c r="BO6" i="4"/>
  <c r="BG6" i="4"/>
  <c r="AY6" i="4"/>
  <c r="AO6" i="4"/>
  <c r="AG6" i="4"/>
  <c r="Y6" i="4"/>
  <c r="Q6" i="4"/>
  <c r="AR6" i="4" s="1"/>
  <c r="BW5" i="4"/>
  <c r="BO5" i="4"/>
  <c r="BG5" i="4"/>
  <c r="BY5" i="4" s="1"/>
  <c r="AY5" i="4"/>
  <c r="AO5" i="4"/>
  <c r="AG5" i="4"/>
  <c r="Y5" i="4"/>
  <c r="AR5" i="4" s="1"/>
  <c r="J5" i="4" s="1"/>
  <c r="Q5" i="4"/>
  <c r="BW4" i="4"/>
  <c r="BO4" i="4"/>
  <c r="BG4" i="4"/>
  <c r="BY4" i="4" s="1"/>
  <c r="AY4" i="4"/>
  <c r="AO4" i="4"/>
  <c r="AG4" i="4"/>
  <c r="Y4" i="4"/>
  <c r="AR4" i="4" s="1"/>
  <c r="J4" i="4" s="1"/>
  <c r="Q4" i="4"/>
  <c r="J66" i="4" l="1"/>
  <c r="J43" i="4"/>
  <c r="J12" i="4"/>
  <c r="AR19" i="4"/>
  <c r="J19" i="4" s="1"/>
  <c r="J47" i="4"/>
  <c r="J67" i="4"/>
  <c r="BY14" i="4"/>
  <c r="J23" i="4"/>
  <c r="BY38" i="4"/>
  <c r="J38" i="4" s="1"/>
  <c r="AR41" i="4"/>
  <c r="J41" i="4" s="1"/>
  <c r="BY53" i="4"/>
  <c r="J53" i="4" s="1"/>
  <c r="J54" i="4"/>
  <c r="AR60" i="4"/>
  <c r="J60" i="4" s="1"/>
  <c r="BY64" i="4"/>
  <c r="BY74" i="4"/>
  <c r="J74" i="4" s="1"/>
  <c r="AR81" i="4"/>
  <c r="J81" i="4" s="1"/>
  <c r="BY85" i="4"/>
  <c r="J85" i="4" s="1"/>
  <c r="J86" i="4"/>
  <c r="AR8" i="4"/>
  <c r="J8" i="4" s="1"/>
  <c r="BY10" i="4"/>
  <c r="J10" i="4" s="1"/>
  <c r="AR13" i="4"/>
  <c r="J13" i="4" s="1"/>
  <c r="AR14" i="4"/>
  <c r="J14" i="4" s="1"/>
  <c r="J20" i="4"/>
  <c r="BY25" i="4"/>
  <c r="AR34" i="4"/>
  <c r="J34" i="4" s="1"/>
  <c r="AR45" i="4"/>
  <c r="J63" i="4"/>
  <c r="AR73" i="4"/>
  <c r="J73" i="4" s="1"/>
  <c r="AR16" i="4"/>
  <c r="J16" i="4" s="1"/>
  <c r="BY18" i="4"/>
  <c r="J18" i="4" s="1"/>
  <c r="AR21" i="4"/>
  <c r="J21" i="4" s="1"/>
  <c r="AR22" i="4"/>
  <c r="J22" i="4" s="1"/>
  <c r="BY58" i="4"/>
  <c r="J58" i="4" s="1"/>
  <c r="BY69" i="4"/>
  <c r="J69" i="4" s="1"/>
  <c r="AR76" i="4"/>
  <c r="J76" i="4" s="1"/>
  <c r="BY80" i="4"/>
  <c r="J80" i="4" s="1"/>
  <c r="BY43" i="4"/>
  <c r="J64" i="4"/>
  <c r="J65" i="4"/>
  <c r="BY82" i="4"/>
  <c r="J82" i="4" s="1"/>
  <c r="AR17" i="4"/>
  <c r="J17" i="4" s="1"/>
  <c r="BY37" i="4"/>
  <c r="J37" i="4" s="1"/>
  <c r="BY50" i="4"/>
  <c r="J50" i="4" s="1"/>
  <c r="BY61" i="4"/>
  <c r="J61" i="4" s="1"/>
  <c r="AR68" i="4"/>
  <c r="J68" i="4" s="1"/>
  <c r="J88" i="4"/>
  <c r="AR89" i="4"/>
  <c r="J89" i="4" s="1"/>
  <c r="BY6" i="4"/>
  <c r="J6" i="4" s="1"/>
  <c r="BY7" i="4"/>
  <c r="J7" i="4" s="1"/>
  <c r="AR25" i="4"/>
  <c r="BY32" i="4"/>
  <c r="J32" i="4" s="1"/>
  <c r="BY33" i="4"/>
  <c r="J33" i="4" s="1"/>
  <c r="J40" i="4"/>
  <c r="BY45" i="4"/>
  <c r="J56" i="4"/>
  <c r="AR57" i="4"/>
  <c r="J57" i="4" s="1"/>
  <c r="J75" i="4"/>
  <c r="AR79" i="4"/>
  <c r="J79" i="4" s="1"/>
  <c r="J25" i="4" l="1"/>
  <c r="J45" i="4"/>
</calcChain>
</file>

<file path=xl/sharedStrings.xml><?xml version="1.0" encoding="utf-8"?>
<sst xmlns="http://schemas.openxmlformats.org/spreadsheetml/2006/main" count="8952" uniqueCount="4074">
  <si>
    <t>机械设计</t>
  </si>
  <si>
    <t>仿真</t>
  </si>
  <si>
    <t>规划</t>
  </si>
  <si>
    <t>其他</t>
  </si>
  <si>
    <t>It’ll end up wearing out the pin and the pin will just wear and lose the location.销子会受磨损，从而失去定位功能</t>
  </si>
  <si>
    <t>The distance between the permanent zone and motion volumes should be over 100mm.永久禁止区和运动包络体之间的距离要大于100mm。</t>
  </si>
  <si>
    <t>工艺规划</t>
  </si>
  <si>
    <t>The proposal assume that we can't achieve that 150mm, and they just found that we can, so we don't need that steel fence anymore.方案中假设的是不能实现150mm伸手距离的话，就要换成铁围栏。但他们现在验证了可以满足，就不需要铁围栏了。PS：铁围栏有防撞功能。</t>
  </si>
  <si>
    <t>Which camera is majoring which points 哪个相机检测哪个点</t>
  </si>
  <si>
    <t>The cell space should be 150mm from the fence, so we can get rid of engineering fence.If it's more than 150mm, we can use only normal fence. 机器人工作区要距离围栏至少150mm,从而避免使用铁围栏。150mm以上可以只用普通围栏。（如果抓手小于150kg，距离围栏150mm；如果抓手大于150kg，距离围栏500mm）.</t>
  </si>
  <si>
    <t>How much time we are actually allowing for the operators to load? 我们能够接受的工人上件的节拍是多少？</t>
  </si>
  <si>
    <t>表达请求客户说短一点，慢一点：Sorry, I can't follow you well, can I translate first?/I am sorry that I can't follow you well after you spoke so much once. It would be nice if you can stop after two or three sentences for me to translate for my team. Thanks for your understanding.</t>
  </si>
  <si>
    <t>At the bottom of the part we need something to prevent the slippage in that angle.工件底部需要加点东西防止滑移。</t>
  </si>
  <si>
    <t>...if the gripper is more than two 150 kilos then we will need to have 500 millimeters safety distance and if we have this then we can use plastic doors.如果抓手大于150kg，安全距离需要500mm</t>
  </si>
  <si>
    <t>Respect centerline of the system以中心线为基准</t>
  </si>
  <si>
    <t>There’s no getting around it.无法避免的</t>
  </si>
  <si>
    <t>If the weight of parts plus end effector plus hoist exceeds 100kg, then we need to use a monorail。如果工件加上抓手以及吊具的重量超过100kg，我们可以用单轨。</t>
  </si>
  <si>
    <t>To keep 150mm distance, it's better to just reduce the cell space instead of adding a permanent space.为保持机器人工作区到围栏150mm的距离，最好是能缩减工作区，其次才是考虑加永久禁止区。</t>
  </si>
  <si>
    <t>布局</t>
  </si>
  <si>
    <t>You need to have dividers inside the cable tray. 线槽里面要有分割器</t>
  </si>
  <si>
    <t>I am on mute/I mute myself我静音了</t>
  </si>
  <si>
    <t>Can you show how...clamp the part?展示一下。。。是怎么夹工件的</t>
  </si>
  <si>
    <t>What is the height of the fence.围栏高度是多少？</t>
  </si>
  <si>
    <t>We shouldn't be using the aisle for anything. 我们不应该利用过道做任何事情</t>
  </si>
  <si>
    <t>It’s kind of tricky这个问题有点棘手</t>
  </si>
  <si>
    <t>When the robot drives the gripper into the rack, what stops robot from its travel and need to try and pick the part? 机器人抓手进入料架时，什么可以阻止机器人继续前进,告诉它要取件？</t>
  </si>
  <si>
    <t>We don't want to use at all heavy fence. If we need, we will use. 如非必须都不要用铁围栏。</t>
  </si>
  <si>
    <t>...then working that close to the aisle, it's dangerous because we will get a lot of traffic.靠近物流通道的地方工作是很危险的，因为通道上有很多物流</t>
  </si>
  <si>
    <t>I need to use the restroom/I need to go somewhere.我要上厕所</t>
  </si>
  <si>
    <t>What is the clearance after we raise the rack to pass the bracket on the floor? 抬高料架（以通过地板上的支架）后的间隙是多少？</t>
  </si>
  <si>
    <t>....open status should be inside the sphere....打开状态要在安全球内</t>
  </si>
  <si>
    <t>Separate the power cables from the communication cables. 把电源线（强电）和通信线缆（弱电）分开</t>
  </si>
  <si>
    <t>If that's the case如果那样的话</t>
  </si>
  <si>
    <t>The robot should not invade the monitoring space. 机器人不能闯进监控区。</t>
  </si>
  <si>
    <t>It's better if we can keep all the cable trays just in the side that you are showing, because in the other side the doors of the laser booth that open for maintenance are 3.6m high. So we would need to go higher if they were on the other side.最好是所有线槽都在你展示的那边，因为另外一边激光房有个维修门是3.6m的，如果放在另一边线槽就要高一点。</t>
  </si>
  <si>
    <t>in the loop 在职场上则是指「针对某一计划或专案或特定主题，经常在参与讨论或传递讯息的一群人」，而且常常是指在电子邮件往来里，被cc（carbon copy，指副本抄送）的人。</t>
  </si>
  <si>
    <t>If the part is skewed and the rack isn't put in place correctly, are we able to avoid like a potential crash there, or are we thinking that the cameras will be able to catch that? 如果工件倾斜，料架位置没放对，能避免碰撞吗？还是说相机能检测到？</t>
  </si>
  <si>
    <t>All positions, including home position, pounce position, and maintenance position cannot be inside the monitoring zone. 所有包含home位、pounce位和维修位的位置都不能闯监控区。</t>
  </si>
  <si>
    <t>All the water savors need to be outside the fence.所有节流阀都要在围栏外面。</t>
  </si>
  <si>
    <t>Time slot（会议）时间段</t>
  </si>
  <si>
    <t>How far away are you from the part when you are actually taking your picture? 视觉相机拍照时，离工件有多远？</t>
  </si>
  <si>
    <t>The program needs to be a little adjusted because you enter inside the permanent zone.这个轨迹需要调整，因为你闯禁止区了。</t>
  </si>
  <si>
    <t>If forklift driver is not careful enough, we won't be able to fit for racks. 如果叉车司机不够谨慎的话，可能不能很好匹配料箱。——客户阐述地面加导向的理由</t>
  </si>
  <si>
    <t>We will follow up in parellel我们会同步跟进</t>
  </si>
  <si>
    <t>Are those laser sensors shooting out past the part, so that you can detect the part in front of it to avoid the crash? 那些光电开关是能穿透工件，检测到前面的工件，从而避免碰撞吗？</t>
  </si>
  <si>
    <t>This is high light intensity...we have to protect completely the area from the operator will have an injury on his eyes. 这里（螺柱焊）光照强度很高...这个区域要完全保护起来，防止工人眼睛受伤。</t>
  </si>
  <si>
    <t>What if you get rid of the conveyor and just drop the part in somewhere in this area? 能不能去掉输送机，只是在这个区域的某个地方放件</t>
  </si>
  <si>
    <t>Bring the meeting forward to...会议提前到。。。</t>
  </si>
  <si>
    <t>The distance in between those protections is less than the space between the light curtains.Is there a reason why they are not both aligned? 保护机构之间的距离比光栅之间的距离要短。为什么不是一致的？</t>
  </si>
  <si>
    <t>These fences need to be covered by a red plastic paper （red curtain）. This will reduce the intensity of the light.这些围栏需要用红色塑料包着，从而减少光照强度。</t>
  </si>
  <si>
    <t>I think it might be good to keep the dust collector unit separate from the main panel.  In this case, if we have to lock out the main panel, our dust collector is still running. 最好是把除尘器单元与主控面板分开。这样主面板关闭之后，除尘器还可以工作。</t>
  </si>
  <si>
    <t>be anchored to 固定在。。。</t>
  </si>
  <si>
    <t>So the red block will be in the way if we drop the light curtain. 如果下移光栅，红色块会挡住它。</t>
  </si>
  <si>
    <t>Is there a reason why this table is not the 90 degrees exactly but have this angle? 为什么这个台子斜着放？</t>
  </si>
  <si>
    <t>We need to know where these two nest tables are relative to the blue robot。以蓝色机器人为准，我们要知道这两个中转台的位置。</t>
  </si>
  <si>
    <t>ladder和stair的区别：ladder是指带一节一节的用于够到高处的梯子，而stair是指楼梯，是与建筑连成一体的。</t>
  </si>
  <si>
    <t>How is/are...attached to... 。。。是怎么连接到。。。的?</t>
  </si>
  <si>
    <t>Here we should create some kind of a system that protect the light barrier. 这里要加保护光栅的机构。</t>
  </si>
  <si>
    <t>If you only go three staions on a conveyor, the blue robot will be too compressed/tight/jammed up/crunched up against itself to be able to load to the conveyor.(背景：内部建议把4节的输送机改为3节的输送机，美国明珞的反应)如果改为三节，蓝色机器人会缩的太紧（即机器人离本体太近，姿态不好），不好上件到输送机。</t>
  </si>
  <si>
    <t>发包：客户一开始发项目出来时候的标准</t>
  </si>
  <si>
    <t>What heights are those clamp handles...Can you get these handles a little bit higher/lower? 那些气缸的把手多高？可以做高/低一点吗？</t>
  </si>
  <si>
    <t>Increase the minimum distance between the volume and the cell space.加大包络体与工作区的距离 （一般是100mm）</t>
  </si>
  <si>
    <t>评审中表示强度度常用到的词：beefy；staunching；rigid</t>
  </si>
  <si>
    <t>How much engagement of the pin? 销子的伸出量是多少？</t>
  </si>
  <si>
    <t>If the robot when he drives here doesn't pass above this monitoring zone, then you don't need anything on the top.如果机器人到这里不超过该监控区上方，那就不需要加限高</t>
  </si>
  <si>
    <t>不确定说的对不对可以说“If I am not mistaken...”/“If I understand correctly”</t>
  </si>
  <si>
    <t>Please keep...parallel to the grid.请保持与车系平行。</t>
  </si>
  <si>
    <t>First you need to put normal fence, check the safety condition. If it's possible, we use normal. If not, we use heavy. Priority is always normal fence. 优先使用普通围栏，并检查安全。其次才是考虑铁围栏。</t>
  </si>
  <si>
    <t>...so right now it's not accounted for but you think you have enough time to account for it and still be under cycle time, right? 所以现在这个（工件翻转的）节拍还没计算进去，但是就算计算进去也可以满足节拍要求是吧？</t>
  </si>
  <si>
    <t>We are doing this by a case by case base.我们是根据具体情况来做的。</t>
  </si>
  <si>
    <t>Try to move the sensor as close as possible to the panel because it'll be easier to adjust, because on this sation, any zero point somthing degree change will have a failure. 感应器尽可能靠近工件，方便调节。因为这个工位，即使是零点几度的变化都会导致感应失败。</t>
  </si>
  <si>
    <t>We need to make sure whenever the forklift driver pulls the cord (finger swipe), he must be out of the monitoring space. 要确保叉车司机去拉拉绳开关的时候，叉车已经完全退出监控区。</t>
  </si>
  <si>
    <t>The robot is holding the panel.  And in that station, we put studs in the top, but we also put studs in the bottom.  How do you already allowed for the cycle time within your calculation to rotate the panel upside down? 机器人拿着工件，然后在这个工位，我们在工件上面打螺柱，下面也要打。那工件上下翻转的时间怎么控制在要求的节拍内（上下翻转的时间是多少）？</t>
  </si>
  <si>
    <t>表示不太同意某个观点，有点反对：I am kind of pushing back</t>
  </si>
  <si>
    <t>What if you get rid of the conveyor and just drop the part in somewhere in this area? 能不能去掉输送机，只是在这个区域的某个地方放件？</t>
  </si>
  <si>
    <t>What is the distance from the part till the cell space? 工件到工作区的距离是多少？</t>
  </si>
  <si>
    <t>Do you have any concern with the proximity like how close together these fixtures are and the cubic S for these three robots here to allow an operator to be loading in one whilst you are welding in another? 这些夹具会不会距离过近？机器人在另一边焊接时，可以允许工人在这边上件吗？</t>
  </si>
  <si>
    <t>It’s blurred（常用句）有点模糊</t>
  </si>
  <si>
    <t>The toooling going very close to the roll up door and the roll up door may not be strong enough to stop the robot.工装离卷帘门太近了，卷帘门要阻止机器人可能不够牢固。</t>
  </si>
  <si>
    <t>The distance between the fences and the cell space and the height of fences must be shown in safety design review document.The distance is based on the height of the fence. DCS文档要显示围栏到工作区的距离(即安全距离)以及围栏的高度（因为安全距离是根据围栏的高度来决定的）</t>
  </si>
  <si>
    <t>Any robot where it was multiple jobs and now it only does one job, remove the ATC.任何机器人如果之前是做多项工作，但现在只做一项工作的，需要取消ATC。</t>
  </si>
  <si>
    <t>激光焊夹具吹保护气：保护气从气瓶或车间管道出来后，经过电磁阀，在压力开关的作用下到达分气块，然后从分气块出去，连接到各个吹气的孔</t>
  </si>
  <si>
    <t>The vision system will have everything inside the cabinet, but the HMI will still be able to show us the results of the vision, right? 视觉系统所有东西都是在控制柜里面，但我们还是可以通过人机界面看到视觉的结果对吧？</t>
  </si>
  <si>
    <t>Do the pictures always in the same orientation of the line, otherwise it's complicated to understand.DCS文档的图片要始终保持线体方向一致，否则理解起来会很复杂。</t>
  </si>
  <si>
    <t>I take it that 我认为，以我的理解</t>
  </si>
  <si>
    <t>Can you guys pull out...?能把......拉出来吗？能展示......吗？</t>
  </si>
  <si>
    <t>Sensor should be near to the pin and PIN/sensor should be diagonal.感应器应该在销子旁边，且销子/感应器要对角分布。</t>
  </si>
  <si>
    <t>When you do a pic from the top, then after that you must have a picture with this isometric view. DCS文档中不能仅仅放俯视图，还要放轴测图（轴测图能显示更多细节）。</t>
  </si>
  <si>
    <t>So I take it that the block locations are just concept and the surface is still to be cut, is that right? 所以这些托压块的定位只是方案，表面还没切的对吧？</t>
  </si>
  <si>
    <t>Do I make sense？你觉得我说的有道理吗？</t>
  </si>
  <si>
    <t>Measure the weight of the part to see where is the center of gravity? 量一下工件的重量，看一下重心在哪里</t>
  </si>
  <si>
    <t>When you do the isometric picture, we need to understand also where is in Z, the lower level and the higher level of this permanent zone. Lower level and higher level mean I need a distance to understand where this area start from the floor, and then I will need a maximum elevation to understand this area finish in Z. 做轴测图时，我们需要一个距离去了解这个禁止区是从地板哪里开始，然后还需要一个最大高度去了解这个禁止区在Z向哪里结束。</t>
  </si>
  <si>
    <t>Did you include fixture inspection plates on your fixtures? There would be four plates around the tool with an XYZ location engraved on them, and they rotate out the way to reveal a hole that you use to inspect the fixture.这套夹具包含了基准孔检测盖板吗？就是夹具四周会有4块板，上面刻着XYZ坐标信息，然后旋转出来可以看到用来检测夹具的孔。</t>
  </si>
  <si>
    <t>....Compile anything you need into an email.把你需要的所有信息都整理成邮件发给我们</t>
  </si>
  <si>
    <t>How do we center this part...这个工件是如何定位的</t>
  </si>
  <si>
    <t>This is a gun from the standard library, you are not allowed to modify any gun from the library. 这边枪是从标准枪库调取的，不允许做任何修改。</t>
  </si>
  <si>
    <t>As a rule, can you keep the edge of all block 3mm from any radius? 一般来说，所有托压块的边缘离任何圆角边都要有3mm的距离。</t>
  </si>
  <si>
    <t>We need to be very gentle in the money.在成本上我们要非常谨慎。</t>
  </si>
  <si>
    <t>I am not so quite sure about the position of the cabinet there right below the welding gun, because over there if we are missing the cap, it's going to flow a lot water and it's going to drop exactly on top of it.电箱放在焊枪下面，担心水流出来滴到上面。</t>
  </si>
  <si>
    <t>....and you pass it straight to the robot or you drop it straight into the fixture? 工件是直接传给机器人还是直接放到夹具？</t>
  </si>
  <si>
    <t>表示“我明白了”可以用以下地道表达：I get the point/I got you/Got it.</t>
  </si>
  <si>
    <t>How this part is marriaged with the other one? 这个工件是怎么与另外一个工件合拼在一起的？</t>
  </si>
  <si>
    <t>All the maintenance positions are collision free.所有维修位都不能有干涉。</t>
  </si>
  <si>
    <t>...calculate the total volume for each side. For example, what's the total volume of the adhesive. 计算每边的胶量/总胶量</t>
  </si>
  <si>
    <t>Which class of the sensor we have here? The sensor should never be aimed on the operator's eyes. 光电开关的安全等级是多少？不能照到人的眼睛。</t>
  </si>
  <si>
    <t>Please open the joint jog and activate the collision viewing.请打开机器人各个轴的数值和干涉组视图</t>
  </si>
  <si>
    <t>Put the pedal to the metal把油门踩到底，比喻全速前进/推进（可用来表示加快推进项目进度），也可指大干一场</t>
  </si>
  <si>
    <t>What is the height from the part until the floor? 工件到地面的高度是多少（看人机）？</t>
  </si>
  <si>
    <t>Remove the underscore.去掉下划线。</t>
  </si>
  <si>
    <t>如何用英语礼貌地询问对方是否“听懂”了：Am I making sense?/Am I explaning this clearly?</t>
  </si>
  <si>
    <t>For those stoppers, I would like to have that combination of round surface with the flat surface, not two flat stoppers.限位块要求弧面和平面结合，而不要都是平面。</t>
  </si>
  <si>
    <t>Even if you don't know the zone numbers, you already know with which robots the robot 60 will have some collision zones. It's pretty easy to fill it.即使你还不知道zone号，但是比如说60机器人会跟哪些机器人有干涉区是已经知道了的。所以除了zone number，其他的信息都可以填了。</t>
  </si>
  <si>
    <t>I am not well versed on...对于......我不是很精通</t>
  </si>
  <si>
    <t>...spacer is different from the shims because shims you can pull from the side and spacer has like a full hole.垫块和垫片不一样。垫片可以从侧边拉，垫块是带通孔的。</t>
  </si>
  <si>
    <t>If we use the 1.6m stair, the distance from where the operator stands to the end of the equipment will be 1.9m. It will be very hard for operator to reach this side of the equipment.如果用1.6m的梯子，那工人站的地方离设备最高处有1.9m，这个距离工人很难够得到。</t>
  </si>
  <si>
    <t>It's the same thing as the one on the other side, right? 是跟另一边的是一样的对吧？（对称）</t>
  </si>
  <si>
    <t>If the payload is under 90, you need to use steel, especially for the pin.如果负载在90以下，需要用铁而不是铝，特别是定位销单元。</t>
  </si>
  <si>
    <t>Open the joint jog：打开机器人各个轴的数值</t>
  </si>
  <si>
    <t>It's a junction box taking the power in from the bus and distributing it to multiple controllers. 接线盒从总线接收电力，并分配到多个控制柜。</t>
  </si>
  <si>
    <t>You have covered this corner, but on the other side is nothing.This plate must cover also this corner.这边的角你覆盖了，但是另一边的没有。要求贴板把另一边也盖住</t>
  </si>
  <si>
    <t>If it is possible, please make something like an adapter plate to have shimming closer to the pin. 如果可以，加个连接板，让调节垫片离销子近一点。</t>
  </si>
  <si>
    <t>Make the minimum distance 量一下最小间隙</t>
  </si>
  <si>
    <t>Can you hold still? 先别动</t>
  </si>
  <si>
    <t>How high is the laser sensor on top from the bottom for the maintenance? 从维修角度看，上面的感应器离底部多高？</t>
  </si>
  <si>
    <t>...as long as the gun is perpendicular with the part焊枪必须垂直于工件焊接</t>
  </si>
  <si>
    <t>Leave it as it is for now/Keep it like this/Leave it the way it is.保持原样</t>
  </si>
  <si>
    <t>Please show us in a ppt from where we could use the ladder to adjust the sensor in this table. 请制作一份PPT展示这个梯子可以从哪里搬过来调整这个台子的感应器（这样就不用每台设备都配一个梯子）</t>
  </si>
  <si>
    <t>Could we jump to 90 station.去90工位</t>
  </si>
  <si>
    <t>...is off a little bit有点偏了</t>
  </si>
  <si>
    <t>What is the distance between the rough locators in the bottom and the bottom of the rack like how much space does the forklift driver have to get right in that area before dropping it down? 底部粗导向和料架底部之间有多少距离？即叉车司机把料架放下去之前，有多少空间？</t>
  </si>
  <si>
    <t>The tennis racket can be rotated to...directly close to the gun connection.苍蝇拍可以旋转到。。。使线缆靠近焊枪接头。</t>
  </si>
  <si>
    <t>Could we get going?/Could we start?可以开始了吗？</t>
  </si>
  <si>
    <t>Add here on this egde a rough locator so the operator can help with this shoulder to load and with this rough locator, we solve aslo the poka yoke.边缘这里加个粗导向，方便工人借助这个粗导向上件，而且也可以作为防错机构（防止工件凸起的另外一边放到左边来）</t>
  </si>
  <si>
    <t>Let's kick out the rest of these spots.我们把剩下的点过完吧。</t>
  </si>
  <si>
    <t>Link up with 与......联系</t>
  </si>
  <si>
    <t>As a general point, 0.5mm undersize is only for the pass table and pure handling gripper, 0.15mm is for process gripper. 共性问题，中转台或纯搬运抓手减径0.5mm，工艺抓手减径0.15mm.</t>
  </si>
  <si>
    <t>I would like to see if you could turn on the DCS space for the monitoring station/operator station, and then turn on the sphere for the gun, and run through both cap change and tip dress so that we can see how close it is.打开监控工位/工人工位的DCS空间，再打开焊枪的包络体，然后进行换帽和修磨，看看有多近。</t>
  </si>
  <si>
    <t>From my understanding在我看来；我的理解是...</t>
  </si>
  <si>
    <t>Try to move the sensor to sense this area, you can even cut a little bit from the clamping here...what I want to avoid is that the sensor will receive signal from the clamp if the part is not here. 感应器往左移一点，甚至可以切一下旁边那个压块......我要避免工件不在这但感应器却感应到压块的情况。</t>
  </si>
  <si>
    <t>Hit welding spots打焊点</t>
  </si>
  <si>
    <t>...is matching what’s on the floor/is matching what’s in the current production, correct? ...是跟现场的一样的对吗？</t>
  </si>
  <si>
    <t>Can you measure the clearance between the pin and the part? 量一下销子到销孔的距离</t>
  </si>
  <si>
    <t>Can we insert this gun to hit these welds?这把焊枪能打这些点吗？</t>
  </si>
  <si>
    <t>Please add a plate underneath here, so that the stairs are closed. 请在楼梯底下加一块板围起来 （防止人掉落）</t>
  </si>
  <si>
    <t>I wanna see where the operator is holding the gun看一下机器人拿枪的位置。</t>
  </si>
  <si>
    <t>表示展示工件/工具等客户常用说法：open; turn on; turn...on; display;bring up;unhide</t>
  </si>
  <si>
    <t>How many pallets we have in the conveyor? APC上有多少个托盘？</t>
  </si>
  <si>
    <t>..provide a presentation for all the weld spots that were unable to access the weld gun.哪些焊点打不了的需要提供一份PPT说明。</t>
  </si>
  <si>
    <t>表示隐藏工件/工具等客户常用说法：close；turn off；turn...off；blank；switch...off；hide</t>
  </si>
  <si>
    <t>Move this part to the middle of the hole.  把这个件移到腰孔中间</t>
  </si>
  <si>
    <t>When you move...please verify the accessibility.你移动......的时候，请验证一下可达性</t>
  </si>
  <si>
    <t>...on a case by case basis.具体情况具体分析</t>
  </si>
  <si>
    <t>Can we use instead of welding parts some kind of aluminum plates that are fixed together with some screws, not welded? 可以用螺接固定在一起的铝板代替焊接件吗？</t>
  </si>
  <si>
    <t>Move to...position, not jump.移动到......位置，不要直接跳到那个位置</t>
  </si>
  <si>
    <t>问对方听明白了没的礼貌问法：Am I making sense?/Does that make sense to you?/Is it clear enough to you?/Did I make myself clear enough/Do you get it?</t>
  </si>
  <si>
    <t>Whenever we are picking up the first part in the rack, has Mino checked if the gripper doesn't hit the part in the back? 我们取料箱第一个件的时候，有没有考虑过抓手会不会撞到后面的工件？</t>
  </si>
  <si>
    <t>Can you load this program in the path editor? 把该程序载入操作路径。（走一下轨迹/路径）</t>
  </si>
  <si>
    <t>叫对方稍等一下的礼貌说法：One moment, please. /Wait a moment, please. /Few seconds, please./Give me one second, please.</t>
  </si>
  <si>
    <t>...when the robot drive in.机器人到位之后...</t>
  </si>
  <si>
    <t>美国明珞</t>
  </si>
  <si>
    <t>drive in drop position机器人走到放件的位置</t>
  </si>
  <si>
    <t>表示还没来得及做某事：1)hasn't/haven't had time to do something.  2)hasn't/haven't had any chance to do something</t>
  </si>
  <si>
    <t>If you put the pin in the two way slot, the pin should have flats on the sides.如果销子插进的是双向槽，那么销子的侧面应该是平的。</t>
  </si>
  <si>
    <t>Robot（gripper）pins need to open before reaching the drop position, to avoid collision with the pin on the fixtures. 抓手的销子要在到达放见位置之前打开，以避免与夹具的销子干涉。</t>
  </si>
  <si>
    <t>take your time慢慢来</t>
  </si>
  <si>
    <t>That’s really offset偏心太多了</t>
  </si>
  <si>
    <t>The cycle time calculatd with the RCS.挂着RCS跑出来的节拍；用RCS跑出来的节拍。</t>
  </si>
  <si>
    <t>当客户说Thank you时，自己也想谢谢客户，可以这样说：Back to you也谢谢你</t>
  </si>
  <si>
    <t>Make sure the clamp arm doesn't exceed the capacity of the clamp. 确保气缸的负载要满足压臂设计的负载/确保压臂的负载不超过气缸的负载。</t>
  </si>
  <si>
    <t>...create the sphere that is bigger because the tennis racket can change position during the commissioning. If in the future we change position, we have to change the safety. But if you create something bigger that can include more tennis racket positions, we will have less action to do next time. 安全球做大一点，因为网球拍的位置调试期间会变。如果网球拍的位置变了，那安全球也要变。因此，如果安全球做大一点，使得网球拍位置变化都是在安全球范围内，下次就不用做很多调整了。</t>
  </si>
  <si>
    <t>Extend...till...延伸到......</t>
  </si>
  <si>
    <t>Is it possible to have the cable tray on top of the fixture plate down the center? 能否把线槽放在夹具面板上面中间位置？</t>
  </si>
  <si>
    <t>Why this angle is needed/why this have an angle?为什么要摆成这个角度？</t>
  </si>
  <si>
    <t>Invest the time to do...花时间做某事</t>
  </si>
  <si>
    <t>SMC cylinder cannot be directly below the slide.SMC气缸不能直接在滑移单元的下面。</t>
  </si>
  <si>
    <t>Place the tip dresser with at least the same angle of the robot. We will avoid to create a user frame for this then.修磨器要摆成至少与机器人一样的角度，这样可以避免创建用户坐标。</t>
  </si>
  <si>
    <t>All good.没关系（回应别人的道歉）</t>
  </si>
  <si>
    <t>Turn off the unit隐藏单元</t>
  </si>
  <si>
    <t>We can have everything on one line...all the door,all the fence on the same line. 门和围栏最好在一条直线上/同一水平上。</t>
  </si>
  <si>
    <t>step out 暂时离开</t>
  </si>
  <si>
    <t>You need to put a plate to tie the clamps. The clamps become more powerful when they are tied. 需要加一块板把压臂连接起来，这样更加牢固一点。</t>
  </si>
  <si>
    <t>We should not have any area which not protected.我们不应该有任何不受保护的区域。</t>
  </si>
  <si>
    <t>Just give a heads up.只是提醒一下</t>
  </si>
  <si>
    <t>If he puts the part on the slide and then hits the palm button and it slides forward and falls off because it's not clamped yet.如果工人把件放在滑台上，碰到了按钮，那工件就会向前滑并且掉落，因为它还没夹紧。</t>
  </si>
  <si>
    <t>The tip dresser is 90 degrees respect to the robot. 修磨器与机器人成90度。</t>
  </si>
  <si>
    <t>I got screwed.我被坑了。</t>
  </si>
  <si>
    <t>It needs to be dumped in.它要斜着放进去。</t>
  </si>
  <si>
    <t>Tip dresser should be always straight.修磨器要保持横平竖直</t>
  </si>
  <si>
    <t>Other way around. 恰好相反</t>
  </si>
  <si>
    <t>I want to see how the pin engages with the locating holes...我想看一下销子跟定位孔咬合的地方（看一下是怎么咬合的）</t>
  </si>
  <si>
    <t>The glue location before and the location after need to be be linear and the distance between them should be 50-100mm.涂胶前一个点和后一个点要成直线。且前后涂胶点的距离应为50-100mm。</t>
  </si>
  <si>
    <t>...if we get any build up for like dust or slag...如果有灰尘或焊渣堆积</t>
  </si>
  <si>
    <t>Can you measure the angle with the floor? 可以量一下与地板的角度吗？</t>
  </si>
  <si>
    <t>I'm on board.我同意；我支持</t>
  </si>
  <si>
    <t>When we apply, the glue must be always perpendicular on the surface...涂胶要垂直于工件表面</t>
  </si>
  <si>
    <t>You need a mechanical limit over the structure to be sure that the forklift driver does not go too high and have the risk to collide the robot.需要加个限高机构，防止叉车把人举得太高撞上机器人。</t>
  </si>
  <si>
    <t>Stellantis/Autodie</t>
  </si>
  <si>
    <t>We make a manual gripper, then we pick parts from a rack, then guided by a rail, we placed the parts here in case the robot is not working. 我们做了个手动抓手，防止机器人不能工作时，工人从料箱取件并沿着导轨移动，然后把工件放到这里。</t>
  </si>
  <si>
    <t>....Sense one of each type and assume that the rest of those types are present but not sensed?
。。。每种类型只感应一个（螺母），那么就可以判断剩下的同种类型的螺母存在而不需要再感应</t>
  </si>
  <si>
    <t>What is against to...为什么不能...</t>
  </si>
  <si>
    <t>I think his feet were able to go underneath the fence. It'll position his body closer to the fence. 我觉得工人的脚可以穿过围栏下面，这样他的身体就会离围栏近一点。</t>
  </si>
  <si>
    <t>If possible don't use decimal number. 尽可能用整数，不要带小数（指joint jog 的值）</t>
  </si>
  <si>
    <t>Is this (fence) designed for optimum ergonomic heights for the operator? 围栏设计这个高度为了符合人机吗？</t>
  </si>
  <si>
    <t>Do you have Kawasaki document for each gun/gripper...? 每把焊枪/抓手你有Kawasaki的文件吗？</t>
  </si>
  <si>
    <t>Unless the sensors are in the way of a weld gun that has to get in there for a geo weld, I will try to sense all three.我会倾向于感应所有螺母，除非感应器阻碍了焊枪焊接。</t>
  </si>
  <si>
    <t>We may want to touch up that path slightly to keep that bead in vertical position so there's no chance of gravity pulling that dispense off.我们得稍微调整/修改一下这个路径，即让胶段保持在垂直位置，防止因为重力问题胶段往下掉。</t>
  </si>
  <si>
    <t>Are we gonna have problems with the lack of surface underneath those lock nuts that hold those sensors on those horseshoes? 感应器螺母下面的支撑面不够，支撑感应器在U形块上会有问题吗？</t>
  </si>
  <si>
    <t>I would like to understand where is the wait of this robot.So what is the position when this robot is waiting, when the robot is loading the previous part. 人工上件的时候，机器人的等待位置在哪里？</t>
  </si>
  <si>
    <t>It's not a dimensionally stable tab.这个搭扣的尺寸不是固定的/稳定的</t>
  </si>
  <si>
    <t>...when we pick one time and drop two times, we have to have two separate TCP's 如果抓手抓一次放两次，必须要有两个TCP。</t>
  </si>
  <si>
    <t>What was the force required to clamp that? The manually acuated clamp, I mean how hard does the operator have to push on that? 夹紧需要多大的力？就是这个手动夹紧气缸，工人要费多大的力去推它？</t>
  </si>
  <si>
    <t>If you can reach this to 900mm, this is the best option. In this way we can get rid of the maintenance platform. 机器人底座最好能减少到900mm，这样就可以不用加维修踏台。</t>
  </si>
  <si>
    <t>The magnet held in by a stainless steel screw.磁铁是用不锈钢螺丝固定住的</t>
  </si>
  <si>
    <t>All these maintenance platforms we need to have them with sensors.This means when somebody is removing this platform, we know and stop complete process. 所有维修塌台都要配感应器，即有人移走维修塌台的时候，我们需要知道并停止流程。</t>
  </si>
  <si>
    <t>Is this actually coming in contatct with the part or is it the holder that's coming in contact with the part？Is a magnet slightly recessed? 这是直接跟工件接触的还是其支架跟工件接触？这块磁铁是凹进去的吗？</t>
  </si>
  <si>
    <t>If we have the robot riser at two meters, then we need the glue stand much higher, then we need a maintenance stand for the glue, maintenance stair for the robot...additional safety for maintenance stairs and so on. If we can mangae to have one meter, the the glue stand will be much lower, we have much less work to do. 如果机器人底座两米高，那么涂胶支架就要更高，且涂胶设备维修也需要加塌台，机器人维修也需要加塌台。除此之外，我们还要给维修塌台加安全盒子。如果机器人底座可以降到1米，就不用这么麻烦了。</t>
  </si>
  <si>
    <t>What the life expectance of the belt...then if a belt goes, how easy is it to find a replacement or is it just a custom? 皮带机上的皮带使用寿命是多长？方便替换吗？还是要定做？</t>
  </si>
  <si>
    <t>What's the distance in between the moving parts and light curtain？输送机活动部件到光栅的距离是多少？</t>
  </si>
  <si>
    <t>These are designed for like Amozon package shipment not industrial.  You got those parts on there with sharp edges and all that stuff, I don't know how well it'll hold up, right?  I don't know that we use belts like that.  It seems like the belts we use have serrated pattern on them, so they can handle more wear and tear. （视频中的皮带机）是用于类似亚马逊包裹运输的，不是我们这个行业用的。因为我们的工件边缘是很尖锐的，我不知道这种皮带机能不能hold得住。好像我们用的皮带机一般都是带有锯齿状设计的，这样会更耐磨</t>
  </si>
  <si>
    <t>For doing the maintenance document, you will need to place a man here for the presentation. 做维修文档的时候，PPT里面要把人也放上去。</t>
  </si>
  <si>
    <t>What's the travel for the spring? 弹簧的行程是多少？（弹簧的压缩量是多少）</t>
  </si>
  <si>
    <t>Is it not possible to make a straight line here? 这里的围栏线不能做成直的吗？</t>
  </si>
  <si>
    <t>Before we do the VC,we must have only one cell if we use only one PLC. 在做VC前，如果我们只用一个PLC，那就只能有一个cell。</t>
  </si>
  <si>
    <t>We need to be sure that when we open the clamps, the part will not fall down and will stay on the pins. Please just adust a little bit angle here.要确保夹头打开时，工件不会掉下来并且确保会待在销子上。需要调整一下工件的角度（斜一点）。</t>
  </si>
  <si>
    <t>What's the part orientation during dispensing? 涂胶的时候工件是什么方向？</t>
  </si>
  <si>
    <t>What was your limit on what was okay to shim and what was not okay to shim? 你们的极限是什么？什么情况可以通过垫片调整，什么情况不可以通过垫片调整？（Mino:多余2mm即需要新作单元）</t>
  </si>
  <si>
    <t>What's the loading strategy for...    ...是怎么上的？</t>
  </si>
  <si>
    <t>All the spot welds can be performed with the clamp closes? Or does it have to be like a second spot? 所有点焊是气缸夹紧后打的吗？还是需要打开焊？</t>
  </si>
  <si>
    <t>What's the process of clamping? Will the pin retract before the end effector engages the part, then the end effector clamps close? 夹紧的流程是怎样的？销子是在抓手接触工件之前缩回，然后抓手夹紧吗？</t>
  </si>
  <si>
    <t>It's the same observation.一样的观点/评论</t>
  </si>
  <si>
    <t>检测工件用光电开关而非接近开关的原因：The thing with the prox sensor is they have to be really close to the part. And sometimes if you have like a little variation, those sensors can hit the part. With the laser ones, they are really far, so you don't have any kind of isse like hitting the part.接近开关需要离工件很近，有时候会因为一点偏差而撞到工件。而光电开关离工件远，不会有干涉工件的问题。</t>
  </si>
  <si>
    <t>How long do you think this would take to install if we have all the parts? 如果所有零件都在这里了，安装这个要多久？</t>
  </si>
  <si>
    <t>Make sure that you have at least 5mm of pin engagement.请确保销子伸出量至少是5mm。</t>
  </si>
  <si>
    <t>Can we see the tool base where you have the holes for the alignment of the measurement of the base? 可以看一下base测量孔吗？</t>
  </si>
  <si>
    <t>Doesn't the four-way pin overcontrain the fixture? 四向销会不有会过定位的问题？</t>
  </si>
  <si>
    <t>How does this shuttle go forwards and backwards？这个滑台是怎么前后移动的？</t>
  </si>
  <si>
    <t>It should be minus 0.3mm.减径0.3mm</t>
  </si>
  <si>
    <t>Any detail that touches outer surface has to be urethane minimum 50 by 50mm.所有接触外观面/外表面的夹紧和支撑，至少要用50X50的聚氨酯。</t>
  </si>
  <si>
    <t>If you have a need to use exposing plastic surface of sensors, be careful and put a steel guard around them. 如果感应器的塑料外壳是暴露在外面的，需要加保护。</t>
  </si>
  <si>
    <t>Shim packages have to be parallel to the bodyline. 垫片组合要与车系平行。</t>
  </si>
  <si>
    <t>Tool base and products need to be parellel to bodyline.夹具底板和产品要与车系平行。</t>
  </si>
  <si>
    <t>宝腾</t>
  </si>
  <si>
    <t>Gripper stand needs to be under 80 degrees in SS11 project and make it to be horizontal as much as possible. SS11项目的所有抓手支座都要在80度以下. 尽可能与地面平行。</t>
  </si>
  <si>
    <t>Hopefully we can use the air hoist for all the new project. 希望所有新项目都能用气动葫芦</t>
  </si>
  <si>
    <t>气动葫芦VS气动平衡吊：气动葫芦没有平衡功能，整个葫芦重量会压在车身上；平衡吊有浮动功能，可以平衡，不会整个工装压在车身上。</t>
  </si>
  <si>
    <t>序号</t>
  </si>
  <si>
    <t>姓名</t>
  </si>
  <si>
    <t>分组</t>
  </si>
  <si>
    <t>组长</t>
  </si>
  <si>
    <t>开营摸底自测成绩</t>
  </si>
  <si>
    <t>二级部门</t>
  </si>
  <si>
    <t>三级班组</t>
  </si>
  <si>
    <t>职位</t>
  </si>
  <si>
    <t>工作地点</t>
  </si>
  <si>
    <t>累积积分</t>
  </si>
  <si>
    <t>额外加分</t>
  </si>
  <si>
    <t>本周总积分</t>
  </si>
  <si>
    <t>备注</t>
  </si>
  <si>
    <t>月度额外加分</t>
  </si>
  <si>
    <t>10月总积分</t>
  </si>
  <si>
    <t>月度加分</t>
  </si>
  <si>
    <t>11月总积分</t>
  </si>
  <si>
    <t>Tuesday</t>
  </si>
  <si>
    <t>Wednesday</t>
  </si>
  <si>
    <t>Thursday</t>
  </si>
  <si>
    <t>Friday</t>
  </si>
  <si>
    <t>Saturday</t>
  </si>
  <si>
    <t>Monday</t>
  </si>
  <si>
    <t>Saturday/Sunday</t>
  </si>
  <si>
    <t>肖枫</t>
  </si>
  <si>
    <t>✔😊</t>
  </si>
  <si>
    <t>英语流利说-Lv4</t>
  </si>
  <si>
    <t>运营数字化部--人力资源部</t>
  </si>
  <si>
    <t>运营数字化部-人力资源部-HRBP组</t>
  </si>
  <si>
    <t>人事行政主管</t>
  </si>
  <si>
    <t>上海世纪大道</t>
  </si>
  <si>
    <t>连续完成一周打卡任务</t>
  </si>
  <si>
    <t>连续完成一月打卡任务</t>
  </si>
  <si>
    <t>李伟</t>
  </si>
  <si>
    <t>智能口语大师-5分</t>
  </si>
  <si>
    <t>项目管理办公室</t>
  </si>
  <si>
    <t>项目管理办公室--管理组</t>
  </si>
  <si>
    <t>项目质量经理</t>
  </si>
  <si>
    <t>王强</t>
  </si>
  <si>
    <t>英语流利说- Lv2</t>
  </si>
  <si>
    <t>徐欢</t>
  </si>
  <si>
    <t>白车身事业部--前期技术方案部</t>
  </si>
  <si>
    <t>BIW-前期技术方案部-方案组</t>
  </si>
  <si>
    <t>工艺方案主任工程师</t>
  </si>
  <si>
    <t>彭立涛</t>
  </si>
  <si>
    <t>英语流利说-Lv3</t>
  </si>
  <si>
    <t>工艺方案高级工程师</t>
  </si>
  <si>
    <t>X</t>
  </si>
  <si>
    <t>谭涛</t>
  </si>
  <si>
    <t>英语流利说-Lv2</t>
  </si>
  <si>
    <t>成都</t>
  </si>
  <si>
    <t>姜斌斌</t>
  </si>
  <si>
    <t>烟台</t>
  </si>
  <si>
    <t>陈佳榆</t>
  </si>
  <si>
    <t>白车身事业部--电气工程部</t>
  </si>
  <si>
    <t>BIW-电气工程部-项目管理组</t>
  </si>
  <si>
    <t>助理电气技术经理</t>
  </si>
  <si>
    <t>萝岗</t>
  </si>
  <si>
    <t>齐欣然</t>
  </si>
  <si>
    <t>项目及现场管理部</t>
  </si>
  <si>
    <t>白车身亚太项目部</t>
  </si>
  <si>
    <t>项目经理</t>
  </si>
  <si>
    <t>上海临港</t>
  </si>
  <si>
    <t>俞元立</t>
  </si>
  <si>
    <t>英语流利说-Lv1</t>
  </si>
  <si>
    <t>现场经理</t>
  </si>
  <si>
    <t>上海</t>
  </si>
  <si>
    <t>任龙</t>
  </si>
  <si>
    <t>现场工程师</t>
  </si>
  <si>
    <t>⭕</t>
  </si>
  <si>
    <t>田璐璐</t>
  </si>
  <si>
    <t>变更及成本主任工程师</t>
  </si>
  <si>
    <t>黄如枫</t>
  </si>
  <si>
    <t>英语流利说-Lv5</t>
  </si>
  <si>
    <t>白车身欧美项目部</t>
  </si>
  <si>
    <t>海外出差现场每日与客户开会沟通</t>
  </si>
  <si>
    <t>刘明宙</t>
  </si>
  <si>
    <t>李金凯</t>
  </si>
  <si>
    <t>姜远亮</t>
  </si>
  <si>
    <t>项目管理组主管</t>
  </si>
  <si>
    <t>陈乐</t>
  </si>
  <si>
    <t>电气技术经理</t>
  </si>
  <si>
    <t>曹明</t>
  </si>
  <si>
    <t>上海、武汉</t>
  </si>
  <si>
    <t>李波</t>
  </si>
  <si>
    <t>大连</t>
  </si>
  <si>
    <t>余建</t>
  </si>
  <si>
    <t>邵冬艳</t>
  </si>
  <si>
    <t>BIW-电气工程部-虚拟调试组</t>
  </si>
  <si>
    <t>虚拟调试助理工程师</t>
  </si>
  <si>
    <t>董立忠</t>
  </si>
  <si>
    <t>机器人离线工程师</t>
  </si>
  <si>
    <t>长春</t>
  </si>
  <si>
    <t>韩雷雷</t>
  </si>
  <si>
    <t>苏久发</t>
  </si>
  <si>
    <t>退出</t>
  </si>
  <si>
    <t>机器人离线高级工程师</t>
  </si>
  <si>
    <t>蔡玉聪</t>
  </si>
  <si>
    <t>BIW-电气工程部-硬件设计组</t>
  </si>
  <si>
    <t>硬件设计助理工程师</t>
  </si>
  <si>
    <t>武汉</t>
  </si>
  <si>
    <t>赵鹏飞</t>
  </si>
  <si>
    <t>硬件设计主任工程师</t>
  </si>
  <si>
    <t>张雄</t>
  </si>
  <si>
    <t>硬件设计高级工程师</t>
  </si>
  <si>
    <t>黄文斌</t>
  </si>
  <si>
    <t>BIW-电气工程部-技术管理组</t>
  </si>
  <si>
    <t>电气工程部副总监(代)兼技术管理组经理</t>
  </si>
  <si>
    <t>廖志文</t>
  </si>
  <si>
    <t>VC设计二次开发工程师</t>
  </si>
  <si>
    <t>张涛</t>
  </si>
  <si>
    <t>PLC设计生产技术</t>
  </si>
  <si>
    <t>王超</t>
  </si>
  <si>
    <t>杜浩龙</t>
  </si>
  <si>
    <t>BIW-电气工程部-PLC设计组</t>
  </si>
  <si>
    <t>PLC设计助理工程师</t>
  </si>
  <si>
    <t>IMRAN HUSSAIN</t>
  </si>
  <si>
    <t>不参与打卡</t>
  </si>
  <si>
    <t>刘丽芝</t>
  </si>
  <si>
    <t>HRBP经理</t>
  </si>
  <si>
    <t>丁相莹</t>
  </si>
  <si>
    <t>白车身事业部--现场调试部</t>
  </si>
  <si>
    <t>BIW-现场调试部-PLC调试组</t>
  </si>
  <si>
    <t>PLC调试助理工程师</t>
  </si>
  <si>
    <t>刘洋</t>
  </si>
  <si>
    <t>现场调试组</t>
  </si>
  <si>
    <t>调试经理</t>
  </si>
  <si>
    <t>吴彪</t>
  </si>
  <si>
    <t>BIW-现场调试部-机器人调试组</t>
  </si>
  <si>
    <t>机器人专家兼机器人调试组副经理</t>
  </si>
  <si>
    <t>停更</t>
  </si>
  <si>
    <t>蒋攀</t>
  </si>
  <si>
    <t>机器人调试助理工程师</t>
  </si>
  <si>
    <t>张佳宾</t>
  </si>
  <si>
    <t>机器人调试高级工程师</t>
  </si>
  <si>
    <t>李国辉</t>
  </si>
  <si>
    <t>BEC正确率57%</t>
  </si>
  <si>
    <t>邹荣</t>
  </si>
  <si>
    <t>暂不开始学习</t>
  </si>
  <si>
    <t>BIW-现场调试部-技术管理组</t>
  </si>
  <si>
    <t>现场调试部副总监(代)兼技术管理组经理</t>
  </si>
  <si>
    <t>未开始</t>
  </si>
  <si>
    <t>李明伟</t>
  </si>
  <si>
    <t>PLC调试高级工程师</t>
  </si>
  <si>
    <t>李俊杰</t>
  </si>
  <si>
    <t>陈毅宝</t>
  </si>
  <si>
    <t>袁莹</t>
  </si>
  <si>
    <t>于尚弘</t>
  </si>
  <si>
    <t>BEC正确率50%</t>
  </si>
  <si>
    <t>孙小情</t>
  </si>
  <si>
    <t>白车身事业部--机械工程部</t>
  </si>
  <si>
    <t>BIW-机械工程部-规划组-规划1组</t>
  </si>
  <si>
    <t>规划工程师</t>
  </si>
  <si>
    <t>吴健波</t>
  </si>
  <si>
    <t>BIW-机械工程部-技术管理组</t>
  </si>
  <si>
    <t>生产技术-规划</t>
  </si>
  <si>
    <t>郭志幸</t>
  </si>
  <si>
    <t>机械技术经理</t>
  </si>
  <si>
    <t>蒋微</t>
  </si>
  <si>
    <t>BIW-机械工程部-项目管理组</t>
  </si>
  <si>
    <t>甘忠英</t>
  </si>
  <si>
    <t>龙德新</t>
  </si>
  <si>
    <t>任行达</t>
  </si>
  <si>
    <t>许达盛</t>
  </si>
  <si>
    <t>BIW-机械工程部-规划组-规划2组</t>
  </si>
  <si>
    <t>工艺规划专家</t>
  </si>
  <si>
    <t>周礼</t>
  </si>
  <si>
    <t>工艺规划高级工程师</t>
  </si>
  <si>
    <t>肖伟亮</t>
  </si>
  <si>
    <t>钢结构设计工程师</t>
  </si>
  <si>
    <t>周虎</t>
  </si>
  <si>
    <t>工艺规划主任工程师</t>
  </si>
  <si>
    <t>王刚</t>
  </si>
  <si>
    <t>李双智</t>
  </si>
  <si>
    <t>王成龙</t>
  </si>
  <si>
    <t>刘佩</t>
  </si>
  <si>
    <t>英语流利说-Lv.2</t>
  </si>
  <si>
    <t>BIW-机械工程部-机械设计组-机械设计2组</t>
  </si>
  <si>
    <t>机械设计工程师</t>
  </si>
  <si>
    <t>周健</t>
  </si>
  <si>
    <t>机械设计助理工程师</t>
  </si>
  <si>
    <t>马新建</t>
  </si>
  <si>
    <t>邵仁坤</t>
  </si>
  <si>
    <t>英语流利说-Lv.1</t>
  </si>
  <si>
    <t>齐丹</t>
  </si>
  <si>
    <t>英语流利说-Lv.3</t>
  </si>
  <si>
    <t>孙石坤</t>
  </si>
  <si>
    <t>机械设计高级工程师</t>
  </si>
  <si>
    <t>吴永生</t>
  </si>
  <si>
    <t>赵丹翠</t>
  </si>
  <si>
    <t>杨汝辉</t>
  </si>
  <si>
    <t>英语流利说-Lv.4</t>
  </si>
  <si>
    <t>BIW-机械工程部-机械设计组-机械设计1组</t>
  </si>
  <si>
    <t>曾玉文</t>
  </si>
  <si>
    <t>温炜鹏</t>
  </si>
  <si>
    <t>黄超雄</t>
  </si>
  <si>
    <t>严剑</t>
  </si>
  <si>
    <t>机械设计主任工程师</t>
  </si>
  <si>
    <t>程玲红</t>
  </si>
  <si>
    <t>BIW-机械工程部-仿真组-仿真2组</t>
  </si>
  <si>
    <t>仿真工程师</t>
  </si>
  <si>
    <t>郑超</t>
  </si>
  <si>
    <t>李念隆</t>
  </si>
  <si>
    <t>韩丽艳</t>
  </si>
  <si>
    <t>仿真2组主管</t>
  </si>
  <si>
    <t>阚兴闻</t>
  </si>
  <si>
    <t>BIW-机械工程部-仿真组-仿真1组</t>
  </si>
  <si>
    <t>工艺设备主任工程师</t>
  </si>
  <si>
    <t>王照军</t>
  </si>
  <si>
    <t>仿真助理工程师</t>
  </si>
  <si>
    <t>王雨欣</t>
  </si>
  <si>
    <t>冼嘉豪</t>
  </si>
  <si>
    <t>离职</t>
  </si>
  <si>
    <t>王新</t>
  </si>
  <si>
    <t>BIW-机械工程部-产品研发组</t>
  </si>
  <si>
    <t>生技开发工程师</t>
  </si>
  <si>
    <t>焦庆辉</t>
  </si>
  <si>
    <t>模块化解决方案产品经理</t>
  </si>
  <si>
    <t>俞艳红</t>
  </si>
  <si>
    <t>产品测试</t>
  </si>
  <si>
    <t>郭坚钊</t>
  </si>
  <si>
    <t>张浩</t>
  </si>
  <si>
    <t>实际完成</t>
  </si>
  <si>
    <t>应该完成</t>
  </si>
  <si>
    <t>完成率</t>
  </si>
  <si>
    <t xml:space="preserve"> </t>
  </si>
  <si>
    <t>英文</t>
  </si>
  <si>
    <t>中文</t>
  </si>
  <si>
    <t>Body in White (BIW)</t>
  </si>
  <si>
    <t>白车身</t>
  </si>
  <si>
    <t>fixture；jig</t>
  </si>
  <si>
    <t>夹具</t>
  </si>
  <si>
    <t>Clamp；clamper；push/pusher（Lucid爱用）；pressure foot</t>
  </si>
  <si>
    <t>夹头；压块；压臂</t>
  </si>
  <si>
    <t>clamp arm</t>
  </si>
  <si>
    <t>压臂；压杠；摇臂</t>
  </si>
  <si>
    <t>support and clamp block；NC block；rest and clamp block；mylar</t>
  </si>
  <si>
    <t>托压块（之所以也叫NC block，是因为托压块的面不规则，需要通过CNC设备加工，CNC=Computer Numerical Control数控）</t>
  </si>
  <si>
    <t>support；pad/net；locator；net block；mylar（mylar有时指夹紧点，有时指压块、托块）；stripper net</t>
  </si>
  <si>
    <t>支撑块；托块；定位块</t>
  </si>
  <si>
    <t>shim；grindable shim</t>
  </si>
  <si>
    <t>垫片（垫片组合是开口的）</t>
  </si>
  <si>
    <t>spacer</t>
  </si>
  <si>
    <t>垫块（垫块只有通孔）；垫圈</t>
  </si>
  <si>
    <t>shim packs</t>
  </si>
  <si>
    <t>垫片组合</t>
  </si>
  <si>
    <t>Safety sensor</t>
  </si>
  <si>
    <t>安全开关</t>
  </si>
  <si>
    <t>limit switch</t>
  </si>
  <si>
    <t>行程开关；限位开关</t>
  </si>
  <si>
    <t>Proximity sensor；part presence</t>
  </si>
  <si>
    <t>接近开关（用来检测工件到位）</t>
  </si>
  <si>
    <t>inductance proximity switch</t>
  </si>
  <si>
    <t>电感式接近开关</t>
  </si>
  <si>
    <t>capacity proximity switch</t>
  </si>
  <si>
    <t>电容式接近开关</t>
  </si>
  <si>
    <t>laser sensor；optical sensor；photo-eye switch; photo eye switch</t>
  </si>
  <si>
    <t>光电开关（光电开关一般有射线）</t>
  </si>
  <si>
    <t>spring loaded sensor</t>
  </si>
  <si>
    <t>弹簧式感应器</t>
  </si>
  <si>
    <t>cylinder；clamp；crank；actuator</t>
  </si>
  <si>
    <t>气缸，夹紧缸</t>
  </si>
  <si>
    <t>sliding cylinder</t>
  </si>
  <si>
    <t>滑台气缸</t>
  </si>
  <si>
    <t>slide；shuttle</t>
  </si>
  <si>
    <t>滑台</t>
  </si>
  <si>
    <t>double-guide rod cylinder; double shafted cylinder</t>
  </si>
  <si>
    <t>双导杆气缸</t>
  </si>
  <si>
    <t>trolley；dolly</t>
  </si>
  <si>
    <t>小车</t>
  </si>
  <si>
    <t>material handler；gripper；end of arm tooling （EOAT）；end effector</t>
  </si>
  <si>
    <t>抓手（end effector/robot end of arm tooling-末端执行器/机器人工具端：可以安装在机器人臂末端的各种工具，如抓手、焊枪、涂胶枪等，用于与或操作物体的工具。）</t>
  </si>
  <si>
    <t>Crane；hanger；hoist；spreader；jib boom</t>
  </si>
  <si>
    <t>吊具（用来平衡工件的重量）</t>
  </si>
  <si>
    <t>lift assist</t>
  </si>
  <si>
    <t>助力设备</t>
  </si>
  <si>
    <t>stopper；hard stop；positive stop；stop block</t>
  </si>
  <si>
    <t>限位块；止块；硬限位；卡边</t>
  </si>
  <si>
    <t>soft stop</t>
  </si>
  <si>
    <t>软限位？</t>
  </si>
  <si>
    <t>angle riser</t>
  </si>
  <si>
    <t>角座；L板</t>
  </si>
  <si>
    <t>Guide</t>
  </si>
  <si>
    <t>导向</t>
  </si>
  <si>
    <t>Anchor bolt</t>
  </si>
  <si>
    <t>地脚螺栓：分化学螺栓和膨胀螺栓</t>
  </si>
  <si>
    <t>chemical bolt</t>
  </si>
  <si>
    <t>化学螺栓</t>
  </si>
  <si>
    <t>expansion bolt</t>
  </si>
  <si>
    <t>膨胀螺栓</t>
  </si>
  <si>
    <t>Aluminum profile；aluminum extrusion</t>
  </si>
  <si>
    <t>铝型材</t>
  </si>
  <si>
    <t>ATC-Automatic Tool Changer</t>
  </si>
  <si>
    <t>换枪盘（更换工业机器人末端握持设备的一种装置，这种装置能够让机器人改变末端握持设备的类型，从而让机器人实现更多的工作模式，因为机器人末端装置通常呈枪械的形状，因此很多企业将这种装置称为了换枪盘）</t>
  </si>
  <si>
    <t>GD&amp;T-Geometric Dimensioning and Tolerancing</t>
  </si>
  <si>
    <t>几何尺寸与公差（是一种机械图纸设计的通用工程语言之一）</t>
  </si>
  <si>
    <t>PLP；DLD-dimensional locator document;LD；GD&amp;T;MCP (宝腾)；ASP</t>
  </si>
  <si>
    <t>工件在夹具上的夹紧定位点；定位策略</t>
  </si>
  <si>
    <t>rub rail</t>
  </si>
  <si>
    <t>防擦条</t>
  </si>
  <si>
    <t>fusion welding</t>
  </si>
  <si>
    <t>熔化焊</t>
  </si>
  <si>
    <t>manual spider</t>
  </si>
  <si>
    <t>是一种手动夹具，长得有点像蜘蛛网</t>
  </si>
  <si>
    <t>pin bush</t>
  </si>
  <si>
    <t>定位销套</t>
  </si>
  <si>
    <t>bush；bushing</t>
  </si>
  <si>
    <t>衬套</t>
  </si>
  <si>
    <t>oil-free bushing</t>
  </si>
  <si>
    <t>无油衬套</t>
  </si>
  <si>
    <t>steel bushing</t>
  </si>
  <si>
    <t>钢制衬套；钢套</t>
  </si>
  <si>
    <t>bearing</t>
  </si>
  <si>
    <t>轴承：帮助物体转动的零件</t>
  </si>
  <si>
    <t>crash cross member；impact beam；bumper beam</t>
  </si>
  <si>
    <t>防撞梁</t>
  </si>
  <si>
    <t>anti collision；collision free</t>
  </si>
  <si>
    <t>防撞</t>
  </si>
  <si>
    <t>pin clamp；clamp pin；claw clamp</t>
  </si>
  <si>
    <t>勾销缸；销钉缸</t>
  </si>
  <si>
    <t>compact cylinder</t>
  </si>
  <si>
    <t>紧凑型气缸；薄型气缸</t>
  </si>
  <si>
    <t>anchor；foot</t>
  </si>
  <si>
    <t>地脚</t>
  </si>
  <si>
    <t>foundation plate；base anchor；floor slab；footing</t>
  </si>
  <si>
    <t>地脚板</t>
  </si>
  <si>
    <t>welding block</t>
  </si>
  <si>
    <t>配焊块</t>
  </si>
  <si>
    <t>plate</t>
  </si>
  <si>
    <t>立板；定位板；连接板</t>
  </si>
  <si>
    <t>sheet metal parts</t>
  </si>
  <si>
    <t>钣金件</t>
  </si>
  <si>
    <t>pin shift；shift pin；shot pin;retractable pin</t>
  </si>
  <si>
    <t>伸缩销</t>
  </si>
  <si>
    <t>shift cylinder</t>
  </si>
  <si>
    <t>伸缩缸</t>
  </si>
  <si>
    <t>swing pin</t>
  </si>
  <si>
    <t>翻转销;翻销</t>
  </si>
  <si>
    <t>dust duct</t>
  </si>
  <si>
    <t>防尘管</t>
  </si>
  <si>
    <t>front rails assembly-FRS</t>
  </si>
  <si>
    <t>前纵梁</t>
  </si>
  <si>
    <t>label；nameplate</t>
  </si>
  <si>
    <t>铭牌</t>
  </si>
  <si>
    <t>square pipe</t>
  </si>
  <si>
    <t>方钢</t>
  </si>
  <si>
    <t>dash；RFS(front structure)；engine room；front component（本田常用）</t>
  </si>
  <si>
    <t>发动机舱；发舱;机舱；前机舱</t>
  </si>
  <si>
    <t>double tooling</t>
  </si>
  <si>
    <t>双夹具</t>
  </si>
  <si>
    <t>dimple head</t>
  </si>
  <si>
    <t>激光头</t>
  </si>
  <si>
    <t>finger</t>
  </si>
  <si>
    <t>（抓手）压指</t>
  </si>
  <si>
    <t>fixture footprint</t>
  </si>
  <si>
    <t>夹具地脚</t>
  </si>
  <si>
    <t>dump unit</t>
  </si>
  <si>
    <t>倾斜装置</t>
  </si>
  <si>
    <t>forklift tine</t>
  </si>
  <si>
    <t>叉车叉齿</t>
  </si>
  <si>
    <t>locking washers</t>
  </si>
  <si>
    <t>锁紧垫圈</t>
  </si>
  <si>
    <t>anti-back out features</t>
  </si>
  <si>
    <t>防松措施</t>
  </si>
  <si>
    <t>datum pin；locating pin；dowel</t>
  </si>
  <si>
    <t>基准销（也叫定位销）；固定销</t>
  </si>
  <si>
    <t>Two screws two pins; two dowels two bolts</t>
  </si>
  <si>
    <t>两销两钉</t>
  </si>
  <si>
    <t>dust cover</t>
  </si>
  <si>
    <t>防尘罩</t>
  </si>
  <si>
    <t>insulator plate</t>
  </si>
  <si>
    <t>绝缘板/过渡板</t>
  </si>
  <si>
    <t>adapter plate</t>
  </si>
  <si>
    <t>连接板；过渡板;转接板</t>
  </si>
  <si>
    <t>spare；back up；backup</t>
  </si>
  <si>
    <t>备件；备用</t>
  </si>
  <si>
    <t>retract</t>
  </si>
  <si>
    <t>缩回</t>
  </si>
  <si>
    <t>advance；shoot up</t>
  </si>
  <si>
    <t>伸出</t>
  </si>
  <si>
    <t>Poka yoke；poka-yoke；Error-proofing mechanism</t>
  </si>
  <si>
    <t>防错；防故障程序</t>
  </si>
  <si>
    <t>clamp open</t>
  </si>
  <si>
    <t>气缸打开</t>
  </si>
  <si>
    <t>clamp close</t>
  </si>
  <si>
    <t>气缸夹紧</t>
  </si>
  <si>
    <t>bolt pin</t>
  </si>
  <si>
    <t>销栓</t>
  </si>
  <si>
    <t>punching shear</t>
  </si>
  <si>
    <t>冲切</t>
  </si>
  <si>
    <t>frame;framing line</t>
  </si>
  <si>
    <t>总拼线</t>
  </si>
  <si>
    <t>Double acting single rod</t>
  </si>
  <si>
    <t>双作用单杠</t>
  </si>
  <si>
    <t>end lock</t>
  </si>
  <si>
    <t>末端锁紧</t>
  </si>
  <si>
    <t>cylinder fittings；cylinder attachment</t>
  </si>
  <si>
    <t>气缸附件</t>
  </si>
  <si>
    <t>floating joint</t>
  </si>
  <si>
    <t>浮动接头（是连接气缸和驱动的零件）</t>
  </si>
  <si>
    <t>valve terminal；air valve；manifold；valve manifold；valve island</t>
  </si>
  <si>
    <t>阀岛</t>
  </si>
  <si>
    <t>pneumatic auxidiary components</t>
  </si>
  <si>
    <t>气动辅助元件</t>
  </si>
  <si>
    <t>built-in pressure gauge</t>
  </si>
  <si>
    <t>内置压力表</t>
  </si>
  <si>
    <t>speed control valve</t>
  </si>
  <si>
    <t>调速阀</t>
  </si>
  <si>
    <t>FRS-Front rail sub</t>
  </si>
  <si>
    <t>前纵梁分总成</t>
  </si>
  <si>
    <t>flow rack</t>
  </si>
  <si>
    <t>流利货架；中转料架；流利料架</t>
  </si>
  <si>
    <t>chamfer</t>
  </si>
  <si>
    <t>倒角</t>
  </si>
  <si>
    <t>spring washer</t>
  </si>
  <si>
    <t>弹垫</t>
  </si>
  <si>
    <t>curing process</t>
  </si>
  <si>
    <t>凝胶加热固化工艺</t>
  </si>
  <si>
    <t>engineering fence；heavy fence</t>
  </si>
  <si>
    <t>铁围栏；工程围栏 （一般有防撞功能）</t>
  </si>
  <si>
    <t>normal fence</t>
  </si>
  <si>
    <t>普通围栏（一般是铝的，无防撞功能）</t>
  </si>
  <si>
    <t>gear and rack；gear rack</t>
  </si>
  <si>
    <t>齿轮齿条</t>
  </si>
  <si>
    <t>spring tensioner</t>
  </si>
  <si>
    <t>弹簧压紧装置</t>
  </si>
  <si>
    <t>take out station/take-out station</t>
  </si>
  <si>
    <t>下线小车工位/下件小车工位（它是非正常生产的工位，有故障或其他需求偶尔才会用到的工位）:即把件拿出来</t>
  </si>
  <si>
    <t>Take in station</t>
  </si>
  <si>
    <t>指非正常生产的工位，有故障或其他需求偶尔才会用到的工位：即把件放到小车上</t>
  </si>
  <si>
    <t>translational</t>
  </si>
  <si>
    <t>平移的；直移的</t>
  </si>
  <si>
    <t>H link；hinge link</t>
  </si>
  <si>
    <t>铰链板</t>
  </si>
  <si>
    <t>rough guide；set guide；rough locator</t>
  </si>
  <si>
    <t>粗导向（粗导向是和工件有点距离，防止工人不会歪着放进去，相当于有个引导）；导向件</t>
  </si>
  <si>
    <t>Precision guide</t>
  </si>
  <si>
    <t>精导向（精导向面已经贴上了，他是代替了定位销的作用，定位销就是控制四向和两向，所以精导向一般要放2个以上用来限制自由度）</t>
  </si>
  <si>
    <t>handrail</t>
  </si>
  <si>
    <t>扶手</t>
  </si>
  <si>
    <t>slide fence</t>
  </si>
  <si>
    <t>滑移围栏</t>
  </si>
  <si>
    <t>turn table</t>
  </si>
  <si>
    <t>转台</t>
  </si>
  <si>
    <t>two-face turn table</t>
  </si>
  <si>
    <t>双面转台</t>
  </si>
  <si>
    <t>robot mounting</t>
  </si>
  <si>
    <t>机器人安装板</t>
  </si>
  <si>
    <t>handle</t>
  </si>
  <si>
    <t>手柄；把手</t>
  </si>
  <si>
    <t>gun cloud</t>
  </si>
  <si>
    <t>插枪图-在进行工件加工时，机器人的工具在每一个加工点位处都有一个特定的位置和姿态，为了验证工具在这些点位处的干涉情况以及机器人的可达性，通常仿真人员会使用一些辅助手段让焊枪或喷涂枪等工具模型在所有机器人示教点位处显示出来，这个过程就叫做插枪。</t>
  </si>
  <si>
    <t>2T weld；3T weld</t>
  </si>
  <si>
    <t>两层板焊接；三层板焊接</t>
  </si>
  <si>
    <t>shoulder pin；stepped pin</t>
  </si>
  <si>
    <t>台阶销:就是销子也可以当托块使用</t>
  </si>
  <si>
    <t>shoulder</t>
  </si>
  <si>
    <t>台阶</t>
  </si>
  <si>
    <t>dual slide</t>
  </si>
  <si>
    <t>双层导轨</t>
  </si>
  <si>
    <t>two-way pin</t>
  </si>
  <si>
    <t>两向销；菱形销</t>
  </si>
  <si>
    <t>four-way pin</t>
  </si>
  <si>
    <t>四向销；圆销</t>
  </si>
  <si>
    <t>flipping gripper</t>
  </si>
  <si>
    <t>反掏抓手</t>
  </si>
  <si>
    <t>mast</t>
  </si>
  <si>
    <t>加强筋？</t>
  </si>
  <si>
    <t>mezzanine</t>
  </si>
  <si>
    <t>夹层（平台）：有个小平台上面可以放一些设备的东西；二层</t>
  </si>
  <si>
    <t>front drive</t>
  </si>
  <si>
    <t>前驱</t>
  </si>
  <si>
    <t>rear drive</t>
  </si>
  <si>
    <t>后驱</t>
  </si>
  <si>
    <t>mechanical arm；articulating arm</t>
  </si>
  <si>
    <t>机械臂；关节杆；悬臂吊</t>
  </si>
  <si>
    <t>boom;jib boom</t>
  </si>
  <si>
    <t>悬臂；吊臂</t>
  </si>
  <si>
    <t>cantilever</t>
  </si>
  <si>
    <t>悬臂</t>
  </si>
  <si>
    <t>visual inspection fixture</t>
  </si>
  <si>
    <t>视觉检测夹具</t>
  </si>
  <si>
    <t>nitrogen spring</t>
  </si>
  <si>
    <t>氮气弹簧</t>
  </si>
  <si>
    <t>model beam</t>
  </si>
  <si>
    <t>pre press</t>
  </si>
  <si>
    <t>预压</t>
  </si>
  <si>
    <t>pressure keep</t>
  </si>
  <si>
    <t>保压</t>
  </si>
  <si>
    <t>locating feature</t>
  </si>
  <si>
    <t>定位机构</t>
  </si>
  <si>
    <t>support locator</t>
  </si>
  <si>
    <t>定位支撑</t>
  </si>
  <si>
    <t>Plastic block</t>
  </si>
  <si>
    <t>胶块</t>
  </si>
  <si>
    <t>Preload</t>
  </si>
  <si>
    <t>预装</t>
  </si>
  <si>
    <t>installation fixture</t>
  </si>
  <si>
    <t>装具</t>
  </si>
  <si>
    <t>tool end</t>
  </si>
  <si>
    <t>工具端</t>
  </si>
  <si>
    <t>octagonal tube</t>
  </si>
  <si>
    <t>八角管</t>
  </si>
  <si>
    <t>Hexagon</t>
  </si>
  <si>
    <t>六边形</t>
  </si>
  <si>
    <t>knuckle；cable grand？</t>
  </si>
  <si>
    <t>关节；接头</t>
  </si>
  <si>
    <t>Cylinder knuckle</t>
  </si>
  <si>
    <t>气缸关节</t>
  </si>
  <si>
    <t>Cylinder rod</t>
  </si>
  <si>
    <t>气缸活塞杆</t>
  </si>
  <si>
    <t>interface</t>
  </si>
  <si>
    <t>接口</t>
  </si>
  <si>
    <t>central part？</t>
  </si>
  <si>
    <t>中通道</t>
  </si>
  <si>
    <t>cross beam；cross part</t>
  </si>
  <si>
    <t>横梁</t>
  </si>
  <si>
    <t>side beam；side part</t>
  </si>
  <si>
    <t>纵梁</t>
  </si>
  <si>
    <t>Load distribution</t>
  </si>
  <si>
    <t>受力分配</t>
  </si>
  <si>
    <t>Catch point</t>
  </si>
  <si>
    <t>接触点</t>
  </si>
  <si>
    <t>stacking</t>
  </si>
  <si>
    <t>堆垛；叠放</t>
  </si>
  <si>
    <t>unstacking</t>
  </si>
  <si>
    <t>拆垛</t>
  </si>
  <si>
    <t>Step ladder</t>
  </si>
  <si>
    <t>（踏台）台阶</t>
  </si>
  <si>
    <t>Locking mechanism</t>
  </si>
  <si>
    <t>锁紧机构</t>
  </si>
  <si>
    <t>COG-center of gravity</t>
  </si>
  <si>
    <t>重心</t>
  </si>
  <si>
    <t>Toy tab</t>
  </si>
  <si>
    <t>预搭扣</t>
  </si>
  <si>
    <t>Absorber；dumper？dump unit；damper</t>
  </si>
  <si>
    <t>缓冲器</t>
  </si>
  <si>
    <t>Two pins one bolt; two pins one screw</t>
  </si>
  <si>
    <t>两销一钉：两个销子一个螺栓</t>
  </si>
  <si>
    <t>Pin with support</t>
  </si>
  <si>
    <t>销带托/销带面：销子本身带一个支撑面</t>
  </si>
  <si>
    <t>weight balancer；counterweight；counter balance</t>
  </si>
  <si>
    <t>配重（块）：是用于增加自身重量来保持平衡的重物</t>
  </si>
  <si>
    <t>swing unit；dump unit</t>
  </si>
  <si>
    <t>二级翻转：指翻摆机构</t>
  </si>
  <si>
    <t>Booster</t>
  </si>
  <si>
    <t>增压泵</t>
  </si>
  <si>
    <t>Offset point</t>
  </si>
  <si>
    <t>偏移点</t>
  </si>
  <si>
    <t>Docking gripper</t>
  </si>
  <si>
    <t>定位抓手</t>
  </si>
  <si>
    <t>Generator;laser generator</t>
  </si>
  <si>
    <t>激光器</t>
  </si>
  <si>
    <t>suction cup；vacuum</t>
  </si>
  <si>
    <t>吸盘</t>
  </si>
  <si>
    <t>vacuum generator</t>
  </si>
  <si>
    <t>真空发生器</t>
  </si>
  <si>
    <t>homing sensor</t>
  </si>
  <si>
    <t>零位传感器</t>
  </si>
  <si>
    <t>CP4、CP3</t>
  </si>
  <si>
    <t>表产品版本</t>
  </si>
  <si>
    <t>Monorail</t>
  </si>
  <si>
    <t>单轨</t>
  </si>
  <si>
    <t>elongated hole；extension hole；slot</t>
  </si>
  <si>
    <t>延长孔；长腰孔；长圆孔</t>
  </si>
  <si>
    <t>Heigt limit</t>
  </si>
  <si>
    <t>限高</t>
  </si>
  <si>
    <t>Kick off drawing</t>
  </si>
  <si>
    <t>出图;下图</t>
  </si>
  <si>
    <t>Forklift pocket=forklift slot</t>
  </si>
  <si>
    <t>叉车槽</t>
  </si>
  <si>
    <t>code carrier</t>
  </si>
  <si>
    <t>传感器：载码体</t>
  </si>
  <si>
    <t>reading sticker/reader；code reader</t>
  </si>
  <si>
    <t>读码器</t>
  </si>
  <si>
    <t>Stamping</t>
  </si>
  <si>
    <t>冲压件</t>
  </si>
  <si>
    <t>standoff distance；safety distance</t>
  </si>
  <si>
    <t>相隔距离；安全距离</t>
  </si>
  <si>
    <t>Hook clamp</t>
  </si>
  <si>
    <t>勾子形式的夹头，类似于finger clamp</t>
  </si>
  <si>
    <t>resting nest</t>
  </si>
  <si>
    <t>支撑</t>
  </si>
  <si>
    <t>Red curtain；soft curtain；red adhesive？</t>
  </si>
  <si>
    <t>软帘（软质卷帘门）</t>
  </si>
  <si>
    <t>laser marking；laser etching</t>
  </si>
  <si>
    <t>激光打标；激光打刻</t>
  </si>
  <si>
    <t>seismic calculation</t>
  </si>
  <si>
    <t>抗震报告；抗震计算</t>
  </si>
  <si>
    <t>Pin engagement；centering length</t>
  </si>
  <si>
    <t>销子伸出量：定位销伸出工件表面的长度（如右图那种是指有效定位长度，标准一般是3-5mm；如果是销子顶部到工件表面则没有标准）</t>
  </si>
  <si>
    <t>grid；coordinate；car line；car origin frame (COF)</t>
  </si>
  <si>
    <t>xyz车系坐标</t>
  </si>
  <si>
    <t>coordinated grid line</t>
  </si>
  <si>
    <t>带（车身）坐标方向 的互相垂直标线</t>
  </si>
  <si>
    <t>conduct bar；slide wire</t>
  </si>
  <si>
    <t>滑束线；滑触线；滑导线（给移动设备进行供电，导电用的）</t>
  </si>
  <si>
    <t>changeover；change over；switch over</t>
  </si>
  <si>
    <t>车型）切换</t>
  </si>
  <si>
    <t>Tank chain</t>
  </si>
  <si>
    <t>坦克链</t>
  </si>
  <si>
    <t>plasma trim</t>
  </si>
  <si>
    <t>等离子切割</t>
  </si>
  <si>
    <t>tie bar</t>
  </si>
  <si>
    <t>接板（下图表示两边的压臂要用连接板连起来）</t>
  </si>
  <si>
    <t>Weld slag</t>
  </si>
  <si>
    <t>焊渣</t>
  </si>
  <si>
    <t>horseshoe</t>
  </si>
  <si>
    <t>马蹄形；U形物</t>
  </si>
  <si>
    <t>steel beam</t>
  </si>
  <si>
    <t>钢梁</t>
  </si>
  <si>
    <t>Index</t>
  </si>
  <si>
    <t>伸缩</t>
  </si>
  <si>
    <t>Red rabbit</t>
  </si>
  <si>
    <t>不良品件</t>
  </si>
  <si>
    <t>Halo part</t>
  </si>
  <si>
    <t>车窗件</t>
  </si>
  <si>
    <t>ground block；grounding block；grounding electrode</t>
  </si>
  <si>
    <t>接地极</t>
  </si>
  <si>
    <t>radius；tangent</t>
  </si>
  <si>
    <t>圆角边；棱线</t>
  </si>
  <si>
    <t>take off</t>
  </si>
  <si>
    <t>拿走</t>
  </si>
  <si>
    <t>overhang</t>
  </si>
  <si>
    <t>超出（Rivian的Freddie爱用这个词表达托压块超出工件）</t>
  </si>
  <si>
    <t>inspection plate;inspection point；datum point</t>
  </si>
  <si>
    <t>基准孔盖板；检测基准孔铭牌</t>
  </si>
  <si>
    <t>Clamp only；clamper</t>
  </si>
  <si>
    <t>空压（纯压紧）</t>
  </si>
  <si>
    <t>open state</t>
  </si>
  <si>
    <t>打开状态</t>
  </si>
  <si>
    <t>turntable fixture；TF</t>
  </si>
  <si>
    <t>转台夹具</t>
  </si>
  <si>
    <t>tapping plate</t>
  </si>
  <si>
    <t>小贴板</t>
  </si>
  <si>
    <t>beta patch</t>
  </si>
  <si>
    <t>贴胶片</t>
  </si>
  <si>
    <t>rim hole</t>
  </si>
  <si>
    <t>削缘孔</t>
  </si>
  <si>
    <t>rack;bin;dunnage</t>
  </si>
  <si>
    <t>料架；料箱 （图片料箱的支撑条特斯拉客户也叫dunnage）</t>
  </si>
  <si>
    <t>linear cylinder</t>
  </si>
  <si>
    <t>滑移气缸；直线拉杆缸</t>
  </si>
  <si>
    <t>hand clamp</t>
  </si>
  <si>
    <t>手动气缸</t>
  </si>
  <si>
    <t>pneumatic magnet</t>
  </si>
  <si>
    <t>气磁铁</t>
  </si>
  <si>
    <t>mechanical property</t>
  </si>
  <si>
    <t>力学性能</t>
  </si>
  <si>
    <t>gusset support</t>
  </si>
  <si>
    <t>三角板；加强板</t>
  </si>
  <si>
    <t>latch rein</t>
  </si>
  <si>
    <t>门锁件</t>
  </si>
  <si>
    <t>cotter pin</t>
  </si>
  <si>
    <t>开口销</t>
  </si>
  <si>
    <t>flutter brace clamp；big swing；big clamp；dump</t>
  </si>
  <si>
    <t>大翻摆（flutter brace是Rivain的工件名，横梁件）；翻摆单元</t>
  </si>
  <si>
    <t>take a section；cut a section；make a section</t>
  </si>
  <si>
    <t>截个剖面；切断面;做个切面</t>
  </si>
  <si>
    <t>urethane</t>
  </si>
  <si>
    <t>聚氨酯（托压块有用这种材料）</t>
  </si>
  <si>
    <t>flip</t>
  </si>
  <si>
    <t>翻摆</t>
  </si>
  <si>
    <t>finger swipe</t>
  </si>
  <si>
    <t>拍按钮？拉绳开关</t>
  </si>
  <si>
    <t>checker plate；diamond plate</t>
  </si>
  <si>
    <t>花纹板（表面带有花纹的钢板称为花纹板；其花纹成扁豆形、菱形、圆豆形、扁圆混合形状，市场上以扁豆形最为常见。）</t>
  </si>
  <si>
    <t>open flange</t>
  </si>
  <si>
    <t>开边</t>
  </si>
  <si>
    <t>belt tensioner</t>
  </si>
  <si>
    <t>皮带张紧器</t>
  </si>
  <si>
    <t>hex bolt；outer hexagon bolt；hex head bolt</t>
  </si>
  <si>
    <t>（外）六角螺栓：头部的边呈六边形，头部没有凹陷的螺栓/螺钉</t>
  </si>
  <si>
    <t>Allen head bolt；inner hexagon bolt；hexagon socket screw</t>
  </si>
  <si>
    <t>（艾伦）内六角螺栓/内六角螺钉：头部外边是圆的，中间则是凹进去的六边形</t>
  </si>
  <si>
    <t>size reduction；minus...</t>
  </si>
  <si>
    <t>减径</t>
  </si>
  <si>
    <t>anodized surface</t>
  </si>
  <si>
    <t>表面阳极氧化处理</t>
  </si>
  <si>
    <t>building</t>
  </si>
  <si>
    <t>厂房</t>
  </si>
  <si>
    <t>drive belt</t>
  </si>
  <si>
    <t>传送带</t>
  </si>
  <si>
    <t>穹顶：凸起的、圆形的屋顶</t>
  </si>
  <si>
    <t>precautionary measure</t>
  </si>
  <si>
    <t>防范措施</t>
  </si>
  <si>
    <t>pressure spring</t>
  </si>
  <si>
    <t>压簧</t>
  </si>
  <si>
    <t>coupling</t>
  </si>
  <si>
    <t>联轴器（指联接两轴或轴与回转件，在传递运动和动力过程中一同回转，在正常情况下不脱开的一种装置。）</t>
  </si>
  <si>
    <t>wheel;roller</t>
  </si>
  <si>
    <t>滚轮；轮子</t>
  </si>
  <si>
    <t>latch？</t>
  </si>
  <si>
    <t>插销</t>
  </si>
  <si>
    <t>zero mark？</t>
  </si>
  <si>
    <t>零位标识</t>
  </si>
  <si>
    <t>tie off point；suspension point</t>
  </si>
  <si>
    <t>吊点（人在高空开口环境下作业的时候，为了防止人掉下去，会挂安全绳，挂安全绳的那个点就是tie-off point，类似右图）</t>
  </si>
  <si>
    <t>brake；braking</t>
  </si>
  <si>
    <t>抱闸；踏板</t>
  </si>
  <si>
    <t>pedestal sealer</t>
  </si>
  <si>
    <t>涂胶支架</t>
  </si>
  <si>
    <t>plate washer</t>
  </si>
  <si>
    <t>垫圈</t>
  </si>
  <si>
    <t>Washer plain</t>
  </si>
  <si>
    <t>平垫圈</t>
  </si>
  <si>
    <t>spring washer；washer spring</t>
  </si>
  <si>
    <t>弹簧垫圈</t>
  </si>
  <si>
    <t>washer dish</t>
  </si>
  <si>
    <t>蝶形垫圈</t>
  </si>
  <si>
    <t>timing belt</t>
  </si>
  <si>
    <t>同步带</t>
  </si>
  <si>
    <t>ring magnet</t>
  </si>
  <si>
    <t>环形磁铁</t>
  </si>
  <si>
    <t>steel angle</t>
  </si>
  <si>
    <t>角钢</t>
  </si>
  <si>
    <t>riser bracket</t>
  </si>
  <si>
    <t>立板支架</t>
  </si>
  <si>
    <t>package</t>
  </si>
  <si>
    <t>组件</t>
  </si>
  <si>
    <t>slide package</t>
  </si>
  <si>
    <t>滑动组件</t>
  </si>
  <si>
    <t>natural color</t>
  </si>
  <si>
    <t>本色；原色</t>
  </si>
  <si>
    <t>raceway；rail</t>
  </si>
  <si>
    <t>导轨</t>
  </si>
  <si>
    <t>machine skin</t>
  </si>
  <si>
    <t>机器外壳</t>
  </si>
  <si>
    <t>moving parts</t>
  </si>
  <si>
    <t>活动部件</t>
  </si>
  <si>
    <t>loading</t>
  </si>
  <si>
    <t>上件：从某个地方将车件放到需要继续工作的地方（未完成工作，如：中转台、GEO夹具、补焊夹具、涂胶台、人工操作台等）</t>
  </si>
  <si>
    <t>unloading</t>
  </si>
  <si>
    <t>下件：本工位工作完成，可以离开本工位或者本线体（已完成工作，如：抽出小车、下件台、中转台、下线升降机）</t>
  </si>
  <si>
    <t>projection pin</t>
  </si>
  <si>
    <t>投影销：只有在销孔是歪的情况下才用，投影销孔</t>
  </si>
  <si>
    <t>untrimmed part</t>
  </si>
  <si>
    <t>未切割件</t>
  </si>
  <si>
    <t>trimmed part</t>
  </si>
  <si>
    <t>切割件</t>
  </si>
  <si>
    <t>centering length</t>
  </si>
  <si>
    <t>定位长度（可指销子）</t>
  </si>
  <si>
    <t>spindle</t>
  </si>
  <si>
    <t>轴；主轴</t>
  </si>
  <si>
    <t>slide unit；linear unit</t>
  </si>
  <si>
    <t>滑移单元</t>
  </si>
  <si>
    <t>accessibility；reachability</t>
  </si>
  <si>
    <t>可达性</t>
  </si>
  <si>
    <t>sprocket</t>
  </si>
  <si>
    <t>链轮</t>
  </si>
  <si>
    <t>Clevis</t>
  </si>
  <si>
    <t>U型夹头（气缸头）</t>
  </si>
  <si>
    <t>clevis pin</t>
  </si>
  <si>
    <t>U型夹头的开口销</t>
  </si>
  <si>
    <t>Guide carriage；slider；wagon</t>
  </si>
  <si>
    <t>滑块</t>
  </si>
  <si>
    <t>reserve</t>
  </si>
  <si>
    <t>余量</t>
  </si>
  <si>
    <t>gantry robot</t>
  </si>
  <si>
    <t>倒挂机器人</t>
  </si>
  <si>
    <t>Allen key；Allen wrench</t>
  </si>
  <si>
    <t>内六角扳手：美国康涅狄格州的Allen公司为其生产的内六角扳手注册了商标，命名为“Allen wrench or key”，之后凭借Allen公司日渐强大的影响力，“Allen key”逐渐成了内六角扳手的通用名称。</t>
  </si>
  <si>
    <t>organ cover；bellows?</t>
  </si>
  <si>
    <t>风琴式防护罩</t>
  </si>
  <si>
    <t>manufactured part；self made part</t>
  </si>
  <si>
    <t>自制件</t>
  </si>
  <si>
    <t>tolerance</t>
  </si>
  <si>
    <t>公差：如某钢板厚度20±0.2，意思是该扳标准厚度20毫米，最大厚度20.2毫米，最小厚度19.8。也就是厚度在19.8到20.2范围内都是合格品。</t>
  </si>
  <si>
    <t>cone</t>
  </si>
  <si>
    <t>圆锥体</t>
  </si>
  <si>
    <t>threaded hole</t>
  </si>
  <si>
    <t>螺纹孔</t>
  </si>
  <si>
    <t>assembly</t>
  </si>
  <si>
    <t>总成件</t>
  </si>
  <si>
    <t>sensor range</t>
  </si>
  <si>
    <t>（感应器的）感应距离</t>
  </si>
  <si>
    <t>TOCDOC-take out cart docking？</t>
  </si>
  <si>
    <t>料箱定位机构</t>
  </si>
  <si>
    <t>Picking point</t>
  </si>
  <si>
    <t>拾取点</t>
  </si>
  <si>
    <t>Scissor lifter</t>
  </si>
  <si>
    <t>剪式升降机；剪刀叉</t>
  </si>
  <si>
    <t>Water circuit</t>
  </si>
  <si>
    <t>水路</t>
  </si>
  <si>
    <t>水气路</t>
  </si>
  <si>
    <t>Pneumatic circuit；gas channel</t>
  </si>
  <si>
    <t>气路</t>
  </si>
  <si>
    <t>air intake</t>
  </si>
  <si>
    <t>接气口；进气口</t>
  </si>
  <si>
    <t>vertical elbow</t>
  </si>
  <si>
    <t>垂直弯通</t>
  </si>
  <si>
    <t>horizontal elbow</t>
  </si>
  <si>
    <t>水平弯通</t>
  </si>
  <si>
    <t>water supply</t>
  </si>
  <si>
    <t>进水</t>
  </si>
  <si>
    <t>water return</t>
  </si>
  <si>
    <t>回水</t>
  </si>
  <si>
    <t>residual pressure discharge valve</t>
  </si>
  <si>
    <t>残压释放阀</t>
  </si>
  <si>
    <t>female elbow</t>
  </si>
  <si>
    <t>内牙弯头</t>
  </si>
  <si>
    <t>male straight</t>
  </si>
  <si>
    <t>外牙直通</t>
  </si>
  <si>
    <t>robot safety evaluation</t>
  </si>
  <si>
    <t>safety of gripper；gripper safety</t>
  </si>
  <si>
    <t>抓手安全球</t>
  </si>
  <si>
    <t>robot safety</t>
  </si>
  <si>
    <t>机器人安全（仿真软件中有这个节点，用来存放在仿真环境中画出来的安全盒子）</t>
  </si>
  <si>
    <t>robot cell；cell perimeter;cell space；red box</t>
  </si>
  <si>
    <t>机器人工作区（机器人活动范围）；红盒子</t>
  </si>
  <si>
    <t>West</t>
  </si>
  <si>
    <t>一个软件，用来画机器人安全盒子</t>
  </si>
  <si>
    <t>monitoring space-MNSP；activated space</t>
  </si>
  <si>
    <t>监控区 （黄盒子，条件激活区，上下件口，APC等）</t>
  </si>
  <si>
    <t>permanent space-PMSP；prohibited space</t>
  </si>
  <si>
    <t>永久禁止区（紫盒子，机器人不能穿入的地方）</t>
  </si>
  <si>
    <t>speed reduction space-SPRD</t>
  </si>
  <si>
    <t>减速区 （蓝盒子）：当配合工作区来使用，当工作区离围栏边的最小安全距离不能满足时候，设置减速区域，</t>
  </si>
  <si>
    <t>reach over distance</t>
  </si>
  <si>
    <t>伸手距离</t>
  </si>
  <si>
    <t>volume</t>
  </si>
  <si>
    <t>（路径生成的）包络体：不带球的包络体，一般是看和其他设备的干涉性余量</t>
  </si>
  <si>
    <t>sphere</t>
  </si>
  <si>
    <t>安全球：即带球的包络体，一般是看人的安全性/安全余量</t>
  </si>
  <si>
    <t>light curtain；grating</t>
  </si>
  <si>
    <t>光栅，简称LC</t>
  </si>
  <si>
    <t>Light curtain bracket</t>
  </si>
  <si>
    <t>光栅支架</t>
  </si>
  <si>
    <t>motion volumes；work envelope</t>
  </si>
  <si>
    <t>机器人的包络体；运动包络体</t>
  </si>
  <si>
    <t>cable tray；trunking；bridge</t>
  </si>
  <si>
    <t>线槽；桥架</t>
  </si>
  <si>
    <t>predrop</t>
  </si>
  <si>
    <t>放件前（的位置）</t>
  </si>
  <si>
    <t>postdrop</t>
  </si>
  <si>
    <t>放件后（的位置）</t>
  </si>
  <si>
    <t>prepick</t>
  </si>
  <si>
    <t>抓件前（的位置）</t>
  </si>
  <si>
    <t>postpick</t>
  </si>
  <si>
    <t>抓件后（的位置）</t>
  </si>
  <si>
    <t>Home；home position</t>
  </si>
  <si>
    <t>home点/原始位置：是机器人原始的所有轴都是0度的状态，是大home位</t>
  </si>
  <si>
    <t>Xhome</t>
  </si>
  <si>
    <t>是设定的所有路径的起始状态，代替Home，一般要求每个轴的值是5的倍数，是小home位</t>
  </si>
  <si>
    <t>Pounce：closer to process point</t>
  </si>
  <si>
    <t>因为XHome存在很多复位信息，可以替换XHome的位置，也可以作为提前启动的点</t>
  </si>
  <si>
    <t>process simulation</t>
  </si>
  <si>
    <t>PS</t>
  </si>
  <si>
    <t>铁围栏</t>
  </si>
  <si>
    <t>light scanner；laser scanner</t>
  </si>
  <si>
    <t>区扫，简称LS</t>
  </si>
  <si>
    <t>DCS （dual check safety；robot safety design）；cubic S；safety zone；safety move;safety box;robot safety</t>
  </si>
  <si>
    <t>DCS文档：机器人应用中的一个安全模块，叫DCS模块，通常仿真中用DCS来代表safety file/safety zone，也就是画的安全盒子，DCS文档指的是把这些盒子按照对应的安全距离要求，用PPT汇总。generated from DCS program</t>
  </si>
  <si>
    <t>ISO；isometric view</t>
  </si>
  <si>
    <t>轴侧图:类似在高处斜着俯视,DCS文档中常见</t>
  </si>
  <si>
    <t>collision set name</t>
  </si>
  <si>
    <t>干涉组命名</t>
  </si>
  <si>
    <t>collision viewer；collision pairs</t>
  </si>
  <si>
    <t>干涉检查；干涉组视图</t>
  </si>
  <si>
    <t>activate/deactivate collision viewer</t>
  </si>
  <si>
    <t>打开/关闭干涉组视图</t>
  </si>
  <si>
    <t>interference/collision/crash</t>
  </si>
  <si>
    <t>干涉</t>
  </si>
  <si>
    <t>distance/clearance/gap/pitch</t>
  </si>
  <si>
    <t>间距；距离</t>
  </si>
  <si>
    <t>near miss</t>
  </si>
  <si>
    <t>仿真最小间隙（可以指安全界限值，小于这个值的话会造成collision）</t>
  </si>
  <si>
    <t>welding list</t>
  </si>
  <si>
    <t>焊枪清单</t>
  </si>
  <si>
    <t>configuration；config</t>
  </si>
  <si>
    <t>配置：机器人各个轴的表达方式，下面出现的都是可以选的，但是有的是可以的，有的是不符合现实的</t>
  </si>
  <si>
    <t>self origin frame</t>
  </si>
  <si>
    <t>原点坐标</t>
  </si>
  <si>
    <t>TCP checker</t>
  </si>
  <si>
    <t>TCP校准器：检测/校准焊枪TCP的</t>
  </si>
  <si>
    <t>gun access issue</t>
  </si>
  <si>
    <t>焊枪可达性问题</t>
  </si>
  <si>
    <t>Flange；adapter；robot connection（可指机器人法兰）连接法兰 （flange除了法兰，还有边缘，翻边的意思，具体看语境）</t>
  </si>
  <si>
    <t>连接法兰 （flange除了法兰，还有边缘，翻边的意思，具体看语境）</t>
  </si>
  <si>
    <t>Gun Body</t>
  </si>
  <si>
    <t>枪体</t>
  </si>
  <si>
    <t>Electrode Cap；tip</t>
  </si>
  <si>
    <t>电极帽（电极帽焊接一定的次数后（一般为1000-1200点），由于磨损而需要修磨或更换，属于焊接消耗部品。）</t>
  </si>
  <si>
    <t>Cap change</t>
  </si>
  <si>
    <t>是一个动作，电极帽更换</t>
  </si>
  <si>
    <t>Fixed Arm；static arm；stationary arm</t>
  </si>
  <si>
    <t>静臂</t>
  </si>
  <si>
    <t>Mobile Arm；swing arm；movable arm</t>
  </si>
  <si>
    <t>动臂</t>
  </si>
  <si>
    <t>mounting</t>
  </si>
  <si>
    <t>安装板</t>
  </si>
  <si>
    <t>inclined electrode；inclined tip</t>
  </si>
  <si>
    <t>斜电极；斜电极帽</t>
  </si>
  <si>
    <t>straight electrode；straight tip</t>
  </si>
  <si>
    <t>直电极；直电极帽</t>
  </si>
  <si>
    <t>gun library</t>
  </si>
  <si>
    <t>枪库</t>
  </si>
  <si>
    <t>feeder system</t>
  </si>
  <si>
    <t>送钉机构</t>
  </si>
  <si>
    <t>shank</t>
  </si>
  <si>
    <t>电极杆</t>
  </si>
  <si>
    <t>play back</t>
  </si>
  <si>
    <t>倒放（轨迹）</t>
  </si>
  <si>
    <t>dispense/dispensing/ glue/seal</t>
  </si>
  <si>
    <t>都指的是涂胶工艺</t>
  </si>
  <si>
    <t>dispensor</t>
  </si>
  <si>
    <t>涂胶机</t>
  </si>
  <si>
    <t>dispensing speed</t>
  </si>
  <si>
    <t>涂胶速度</t>
  </si>
  <si>
    <t>SPR</t>
  </si>
  <si>
    <t>自冲铆接工艺</t>
  </si>
  <si>
    <t>weld</t>
  </si>
  <si>
    <t>焊点/焊接工艺</t>
  </si>
  <si>
    <t>stud</t>
  </si>
  <si>
    <t>螺柱/螺柱工艺</t>
  </si>
  <si>
    <t>laser</t>
  </si>
  <si>
    <t>激光/激光工艺</t>
  </si>
  <si>
    <t>bolt</t>
  </si>
  <si>
    <t>打钉子工艺</t>
  </si>
  <si>
    <t>bolting</t>
  </si>
  <si>
    <t>螺栓连接</t>
  </si>
  <si>
    <t>rivet nut</t>
  </si>
  <si>
    <t>打螺母工艺</t>
  </si>
  <si>
    <t>insert</t>
  </si>
  <si>
    <t>拧紧工艺</t>
  </si>
  <si>
    <t>mig/mag/arc</t>
  </si>
  <si>
    <t>弧焊</t>
  </si>
  <si>
    <t>rivet</t>
  </si>
  <si>
    <t>铆钉</t>
  </si>
  <si>
    <t>die</t>
  </si>
  <si>
    <t>铆模</t>
  </si>
  <si>
    <t>sealer</t>
  </si>
  <si>
    <t>密封胶（材料间的间隙密封）</t>
  </si>
  <si>
    <t>adhesive</t>
  </si>
  <si>
    <t>结构胶（组件间的结构粘接）</t>
  </si>
  <si>
    <t>hem adhesive</t>
  </si>
  <si>
    <t>折边胶（折边胶主要用于车门、引擎盖和行李箱盖外板的包边，代替焊点连接内、外盖板，避免车身表面出现焊接而造成的凹坑，提高车身的外观质量。</t>
  </si>
  <si>
    <t>anti-flutter mastic adhesive；</t>
  </si>
  <si>
    <t>减震腻子胶；减震胶；</t>
  </si>
  <si>
    <t>expansion adhesive</t>
  </si>
  <si>
    <t>膨胀胶—膨胀胶主要用于引擎盖、行李箱盖、顶盖和车门等内外板之间，用来减弱行车中的振动和噪声，增加整车的舒适性。</t>
  </si>
  <si>
    <t>substrate</t>
  </si>
  <si>
    <t>基材：用于在表面涂布胶粘剂的材料</t>
  </si>
  <si>
    <t>wetting</t>
  </si>
  <si>
    <t>湿润：液体对固体的亲和性</t>
  </si>
  <si>
    <t>bond</t>
  </si>
  <si>
    <t>胶接；粘接</t>
  </si>
  <si>
    <t>Sealing hose</t>
  </si>
  <si>
    <t>胶管</t>
  </si>
  <si>
    <t>Glue bead</t>
  </si>
  <si>
    <t>胶段</t>
  </si>
  <si>
    <t>bead length</t>
  </si>
  <si>
    <t>涂胶长度</t>
  </si>
  <si>
    <t>squeeze-out；squeeze out</t>
  </si>
  <si>
    <t>溢胶：对装配件加压后，从胶层中挤出的胶粘剂。</t>
  </si>
  <si>
    <t>robot datasheet</t>
  </si>
  <si>
    <t>机器人的安装文档</t>
  </si>
  <si>
    <t>collision zone</t>
  </si>
  <si>
    <t>干涉区：robot datasheet中的干涉区，注意跟collision set/collision view区分开</t>
  </si>
  <si>
    <t>joint jog；axis value</t>
  </si>
  <si>
    <t>机器人各个轴的数值；机器人轴值</t>
  </si>
  <si>
    <t>robot jog</t>
  </si>
  <si>
    <t>机器人数值，可以各个方向移动 (robot jog包含joint jog)</t>
  </si>
  <si>
    <t>decimal</t>
  </si>
  <si>
    <t>小数；小数的</t>
  </si>
  <si>
    <t>Simulation</t>
  </si>
  <si>
    <t>Robot</t>
  </si>
  <si>
    <t>机器人</t>
  </si>
  <si>
    <t>path editor</t>
  </si>
  <si>
    <t>路径编辑；操作路径</t>
  </si>
  <si>
    <t>Pose editor</t>
  </si>
  <si>
    <t>姿态编辑</t>
  </si>
  <si>
    <t>sequence</t>
  </si>
  <si>
    <t>时序；顺序</t>
  </si>
  <si>
    <t>sequence editor</t>
  </si>
  <si>
    <t>(操作路径)时序编辑</t>
  </si>
  <si>
    <t>object tree；resource tree</t>
  </si>
  <si>
    <t>资源树（放设备和模型的）</t>
  </si>
  <si>
    <t>operation tree</t>
  </si>
  <si>
    <t>操作树（机器人路径）；工艺树</t>
  </si>
  <si>
    <t>logical collection tree；groups?</t>
  </si>
  <si>
    <t>逻辑树；逻辑集合树</t>
  </si>
  <si>
    <t>Riser</t>
  </si>
  <si>
    <t>机器人底座</t>
  </si>
  <si>
    <t>parallel perspective view mode</t>
  </si>
  <si>
    <t>透视模式</t>
  </si>
  <si>
    <t>view style</t>
  </si>
  <si>
    <t>视图类型</t>
  </si>
  <si>
    <t>shaded model</t>
  </si>
  <si>
    <t>实物模式</t>
  </si>
  <si>
    <t>Feature lines over solid</t>
  </si>
  <si>
    <t>wireframe mode</t>
  </si>
  <si>
    <t>线条视图</t>
  </si>
  <si>
    <t>feature  lines</t>
  </si>
  <si>
    <t>基于3D透明化后只能看到边线的视图</t>
  </si>
  <si>
    <t>pick intent</t>
  </si>
  <si>
    <t>拾取选项（物体坐标选项层面）</t>
  </si>
  <si>
    <t>snap pick intent</t>
  </si>
  <si>
    <t>快速拾取物体（鼠标选中）</t>
  </si>
  <si>
    <t>on edge pick intent</t>
  </si>
  <si>
    <t>拾取物体边界</t>
  </si>
  <si>
    <t>where picked pick intent</t>
  </si>
  <si>
    <t>拾取任一位置</t>
  </si>
  <si>
    <t>self origin pick intent</t>
  </si>
  <si>
    <t>拾取物体自身原点坐标</t>
  </si>
  <si>
    <t>RCS</t>
  </si>
  <si>
    <t>FANUC上用于添加机器人控制器后连接RCS（robot controller system）跑节拍，需要输出的一个机器人或者工位花费时间；跑出来的时间小于线体节拍的95%。如100S的节拍，要求RCS优化到95S以下。</t>
  </si>
  <si>
    <t>RRS</t>
  </si>
  <si>
    <t>KUKA机器人上连接RCS所用的文件</t>
  </si>
  <si>
    <t>controller version</t>
  </si>
  <si>
    <t>控制器版本（指的是机器人在进行搬运或者焊接等工艺过程，在完成路径后，需要加载虚拟的控制软件来模拟贴近实际用于现场的路径）</t>
  </si>
  <si>
    <t>weld distribution</t>
  </si>
  <si>
    <t>焊点分布</t>
  </si>
  <si>
    <t>programs</t>
  </si>
  <si>
    <t>service</t>
  </si>
  <si>
    <t>TCP</t>
  </si>
  <si>
    <t>工具中心点：指的是机器人用来运行路径的一个坐标，tip center point；用于确定机器人工具位置。工具的尖端坐标</t>
  </si>
  <si>
    <t>Frame；Coordinate</t>
  </si>
  <si>
    <t>坐标</t>
  </si>
  <si>
    <t>UF-Uframe；base frame</t>
  </si>
  <si>
    <t>UT-Utool</t>
  </si>
  <si>
    <t>user model</t>
  </si>
  <si>
    <t>用户模型</t>
  </si>
  <si>
    <t>safety model</t>
  </si>
  <si>
    <t>安全模型</t>
  </si>
  <si>
    <t>robot model</t>
  </si>
  <si>
    <t>机器人本体球；机器人模型</t>
  </si>
  <si>
    <t>path name</t>
  </si>
  <si>
    <t>路径命名</t>
  </si>
  <si>
    <t>weld operation</t>
  </si>
  <si>
    <t>焊接属性（路径的属性分类）</t>
  </si>
  <si>
    <t>continuous feature operation</t>
  </si>
  <si>
    <t>连续特征属性（路径的属性分类）</t>
  </si>
  <si>
    <t>7-axis</t>
  </si>
  <si>
    <t>7轴（上面放机器人，机器人一共有6个轴关节）</t>
  </si>
  <si>
    <t>robot joint</t>
  </si>
  <si>
    <t>机器人轴范围</t>
  </si>
  <si>
    <t>robot tool frame</t>
  </si>
  <si>
    <t>机器人6轴坐标 （机器人的手腕，负责360度的完整旋转）</t>
  </si>
  <si>
    <t>robot base frame</t>
  </si>
  <si>
    <t>机器人自身坐标</t>
  </si>
  <si>
    <t>node</t>
  </si>
  <si>
    <t>节点（操作或者资源树中不同放置层级）</t>
  </si>
  <si>
    <t>Library（sys root）</t>
  </si>
  <si>
    <t>inspection position</t>
  </si>
  <si>
    <t>涂胶展示位：人站在线外看涂胶后的胶水质量</t>
  </si>
  <si>
    <t>repair position</t>
  </si>
  <si>
    <t>修复位</t>
  </si>
  <si>
    <t>reject position：clean the glue and remove the part</t>
  </si>
  <si>
    <t>涂胶拒绝位</t>
  </si>
  <si>
    <t>bypass position</t>
  </si>
  <si>
    <t>指人进入工位内拿件</t>
  </si>
  <si>
    <t>scrape</t>
  </si>
  <si>
    <t>刮胶</t>
  </si>
  <si>
    <t>OLP</t>
  </si>
  <si>
    <t>offline program，离线程序</t>
  </si>
  <si>
    <t>play the program</t>
  </si>
  <si>
    <t>跑程序；运行程序</t>
  </si>
  <si>
    <t>PLC</t>
  </si>
  <si>
    <t>控制逻辑</t>
  </si>
  <si>
    <t>drop path</t>
  </si>
  <si>
    <t>放件路径</t>
  </si>
  <si>
    <t>pick path</t>
  </si>
  <si>
    <t>抓件路径</t>
  </si>
  <si>
    <t>weld path</t>
  </si>
  <si>
    <t>焊接路径</t>
  </si>
  <si>
    <t>dress package</t>
  </si>
  <si>
    <t>机器人管线包</t>
  </si>
  <si>
    <t>MH</t>
  </si>
  <si>
    <t>material handling， 搬运</t>
  </si>
  <si>
    <t>meter/doser;nozzle；RMB-remote meter box</t>
  </si>
  <si>
    <t>定量机;定量机枪嘴：一种重要的计量设备</t>
  </si>
  <si>
    <t>drive pin</t>
  </si>
  <si>
    <t>传动销</t>
  </si>
  <si>
    <t>kinematic editor</t>
  </si>
  <si>
    <t>clamp reaction</t>
  </si>
  <si>
    <t>夹头动作</t>
  </si>
  <si>
    <t>modeling scope</t>
  </si>
  <si>
    <t>仿真有个命令，就是夹具，要进入到这个模式，可以在里面添加一些机构，然后做动作，然后end，这个夹具的机构就保存上了，会同步到后台数模更改</t>
  </si>
  <si>
    <t>open the cell</t>
  </si>
  <si>
    <t>打开（仿真）数据</t>
  </si>
  <si>
    <t>SOP-sequence offline program</t>
  </si>
  <si>
    <t>循环编辑器/联动视频：SOP要求跑3个循环（repeat three times），按照一套PLC播放3个循环来做，SOP跑出来的联动时间，小于线体节拍至少2S时间，留给现场调试预留。</t>
  </si>
  <si>
    <t>joint 1；axis 1</t>
  </si>
  <si>
    <t>1轴</t>
  </si>
  <si>
    <t>external joint</t>
  </si>
  <si>
    <t>外部轴，即七轴</t>
  </si>
  <si>
    <t>project weld point</t>
  </si>
  <si>
    <t>投影焊点</t>
  </si>
  <si>
    <t>motion type</t>
  </si>
  <si>
    <t>运动类型</t>
  </si>
  <si>
    <t>tennis racket</t>
  </si>
  <si>
    <t>（管线包）网球拍；苍蝇拍（类似一个支架，用来支撑管线）</t>
  </si>
  <si>
    <t>welding sequence</t>
  </si>
  <si>
    <t>焊接顺序</t>
  </si>
  <si>
    <t>cell</t>
  </si>
  <si>
    <t>表一个区域；机器人工作区</t>
  </si>
  <si>
    <t>cell space</t>
  </si>
  <si>
    <t>机器人的运动范围/移动区域</t>
  </si>
  <si>
    <t>Self-piercing riveting-SPR</t>
  </si>
  <si>
    <t>自冲铆接</t>
  </si>
  <si>
    <t>SPR gun</t>
  </si>
  <si>
    <t>自冲铆接枪</t>
  </si>
  <si>
    <t>blind rivet</t>
  </si>
  <si>
    <t>盲铆</t>
  </si>
  <si>
    <t>Clinch</t>
  </si>
  <si>
    <t>无铆钉铆接</t>
  </si>
  <si>
    <t>clinch nut</t>
  </si>
  <si>
    <t>压铆螺母</t>
  </si>
  <si>
    <t>pull rivet nut</t>
  </si>
  <si>
    <t>拉铆螺母</t>
  </si>
  <si>
    <t>hand riveter</t>
  </si>
  <si>
    <t>拉铆枪</t>
  </si>
  <si>
    <t>pull riveting</t>
  </si>
  <si>
    <t>拉铆</t>
  </si>
  <si>
    <t>MFG</t>
  </si>
  <si>
    <t>焊点数模</t>
  </si>
  <si>
    <t>SFM，stud farm</t>
  </si>
  <si>
    <t>螺柱焊区域</t>
  </si>
  <si>
    <t>booth</t>
  </si>
  <si>
    <t>房体</t>
  </si>
  <si>
    <t>laser booth/room</t>
  </si>
  <si>
    <t>激光房（防护激光安全的一种房体结构）</t>
  </si>
  <si>
    <t>dimple</t>
  </si>
  <si>
    <t>凹坑（一种工艺）</t>
  </si>
  <si>
    <t>Off Line Program</t>
  </si>
  <si>
    <t>离线OLP</t>
  </si>
  <si>
    <t>path</t>
  </si>
  <si>
    <t>路径</t>
  </si>
  <si>
    <t>via location</t>
  </si>
  <si>
    <t>过渡点</t>
  </si>
  <si>
    <t>welding point；weld；spot point；solder point；weld spot</t>
  </si>
  <si>
    <t>焊点</t>
  </si>
  <si>
    <t>Automatic Tool Changer</t>
  </si>
  <si>
    <t>ATC；换枪盘</t>
  </si>
  <si>
    <t>Welding Gun；torque；welding torque</t>
  </si>
  <si>
    <t>焊枪</t>
  </si>
  <si>
    <t>Laminated Shunts</t>
  </si>
  <si>
    <t>软连接</t>
  </si>
  <si>
    <t>robot teach；robot teaching</t>
  </si>
  <si>
    <t>机器人示教</t>
  </si>
  <si>
    <t>teach pendant；teaching device</t>
  </si>
  <si>
    <t>示教器</t>
  </si>
  <si>
    <t>welding seam；welding line；welding bead</t>
  </si>
  <si>
    <t>焊缝</t>
  </si>
  <si>
    <t>RSW gun; resistance spot welding gun</t>
  </si>
  <si>
    <t>电阻点焊枪（普通常常看到的焊枪）</t>
  </si>
  <si>
    <t>die side</t>
  </si>
  <si>
    <t>铆模侧</t>
  </si>
  <si>
    <t>feeding tape</t>
  </si>
  <si>
    <t>送钉带</t>
  </si>
  <si>
    <t>CNX</t>
  </si>
  <si>
    <t>焊点文件（焊点、SPR点、涂胶点、等工艺点catia数据的总称）——特斯拉习惯叫法</t>
  </si>
  <si>
    <t>half welding</t>
  </si>
  <si>
    <t>半点焊：没完全焊到</t>
  </si>
  <si>
    <t>C枪</t>
  </si>
  <si>
    <t>C Gun</t>
  </si>
  <si>
    <t>X枪（P枪）</t>
  </si>
  <si>
    <t>X Gun(P Gun)</t>
  </si>
  <si>
    <t>define simulation as a master</t>
  </si>
  <si>
    <t>定义仿真为样板</t>
  </si>
  <si>
    <t>RTU=Robot track unit; Robot transfer unit；linear unit(看情况判断)</t>
  </si>
  <si>
    <t>七轴-一般直接铺设在地面上的，俗称“地轨”，充当移动的脚步</t>
  </si>
  <si>
    <t>RTU riser；console （特斯拉Marius）</t>
  </si>
  <si>
    <t>七轴增高座</t>
  </si>
  <si>
    <t>Pedestal gun；stationary gun</t>
  </si>
  <si>
    <t>固定焊枪</t>
  </si>
  <si>
    <t>glue nozzle</t>
  </si>
  <si>
    <t>涂胶嘴</t>
  </si>
  <si>
    <t>熔焊</t>
  </si>
  <si>
    <t>nail tray；spool</t>
  </si>
  <si>
    <t>钉盘</t>
  </si>
  <si>
    <t>Assign welding spots</t>
  </si>
  <si>
    <t>分配焊点</t>
  </si>
  <si>
    <t>welding path</t>
  </si>
  <si>
    <t>焊接轨迹</t>
  </si>
  <si>
    <t>Laser cell</t>
  </si>
  <si>
    <t>激光盒子</t>
  </si>
  <si>
    <t>Actual robot</t>
  </si>
  <si>
    <t>现场实际位置的机器人</t>
  </si>
  <si>
    <t>Trajectory</t>
  </si>
  <si>
    <t>轨迹</t>
  </si>
  <si>
    <t>steel spot welding</t>
  </si>
  <si>
    <t>钢点焊</t>
  </si>
  <si>
    <t>Weld cap</t>
  </si>
  <si>
    <t>焊帽</t>
  </si>
  <si>
    <t>Drawn arc stud</t>
  </si>
  <si>
    <t>拉弧螺柱焊；电弧螺柱焊</t>
  </si>
  <si>
    <t>DAW-drawing after welding</t>
  </si>
  <si>
    <t>/</t>
  </si>
  <si>
    <t>EMS server</t>
  </si>
  <si>
    <t>服务器数据</t>
  </si>
  <si>
    <t>overhead spot；aerial spot</t>
  </si>
  <si>
    <t>空补；空中补焊</t>
  </si>
  <si>
    <t>die host</t>
  </si>
  <si>
    <t>铆座</t>
  </si>
  <si>
    <t>C frame</t>
  </si>
  <si>
    <t>C型框架</t>
  </si>
  <si>
    <t>die&amp;rivet</t>
  </si>
  <si>
    <t>钉铆组合</t>
  </si>
  <si>
    <t>quick coupling</t>
  </si>
  <si>
    <t>快速接头；快换接头</t>
  </si>
  <si>
    <t>placement manipulator</t>
  </si>
  <si>
    <t>electric platform</t>
  </si>
  <si>
    <t>电柜平台</t>
  </si>
  <si>
    <t>transport line？</t>
  </si>
  <si>
    <t>机运线（输送线）</t>
  </si>
  <si>
    <t>safety robot manager</t>
  </si>
  <si>
    <t>安全机器人管理器：仿真软件中的一个应用程序</t>
  </si>
  <si>
    <t>process factor</t>
  </si>
  <si>
    <t>工艺因子</t>
  </si>
  <si>
    <t>car original frame</t>
  </si>
  <si>
    <t>车系原点</t>
  </si>
  <si>
    <t>entity level</t>
  </si>
  <si>
    <t>层级（如打开层级，就是把一个整体分开。右图是前后对比，不点这个指令 里面的层级都是看不到的，点一下可以看到被隐藏的层级）</t>
  </si>
  <si>
    <t>distributor；pick nest</t>
  </si>
  <si>
    <t>分料器：一个取钉机构</t>
  </si>
  <si>
    <t>nosepiece</t>
  </si>
  <si>
    <t>刀头</t>
  </si>
  <si>
    <t>robot program inventory</t>
  </si>
  <si>
    <t>DES-discrete event simulation</t>
  </si>
  <si>
    <t>物流仿真/离散性事件仿真</t>
  </si>
  <si>
    <t>notes for the robot</t>
  </si>
  <si>
    <t>机器人名称</t>
  </si>
  <si>
    <t>OP mode</t>
  </si>
  <si>
    <t>低速（运行）模式（因为有operator参与？）</t>
  </si>
  <si>
    <t>appearance</t>
  </si>
  <si>
    <t>工件分身</t>
  </si>
  <si>
    <t>navigation tree</t>
  </si>
  <si>
    <t>导航树</t>
  </si>
  <si>
    <t>PTP distance-point to point distance</t>
  </si>
  <si>
    <t>点到点距离</t>
  </si>
  <si>
    <t>gas welding</t>
  </si>
  <si>
    <t>气焊</t>
  </si>
  <si>
    <t>oxygen fuel gas welding （简称OFW）</t>
  </si>
  <si>
    <t>electric resistance welding</t>
  </si>
  <si>
    <t>电阻焊</t>
  </si>
  <si>
    <t>respot；RSP</t>
  </si>
  <si>
    <t>补焊</t>
  </si>
  <si>
    <t>CT；cycle time</t>
  </si>
  <si>
    <t>节拍</t>
  </si>
  <si>
    <t>respot station</t>
  </si>
  <si>
    <t>补焊工位</t>
  </si>
  <si>
    <t>laser welding</t>
  </si>
  <si>
    <t>激光焊接</t>
  </si>
  <si>
    <t>laser brazing；laser braze</t>
  </si>
  <si>
    <t>激光钎焊</t>
  </si>
  <si>
    <t>laser melting</t>
  </si>
  <si>
    <t>激光熔焊</t>
  </si>
  <si>
    <t>rolling door；roll up door；shutter door</t>
  </si>
  <si>
    <t>卷帘门</t>
  </si>
  <si>
    <t>Albini door</t>
  </si>
  <si>
    <t>阿尔比尼门? (卷帘门)</t>
  </si>
  <si>
    <t>Lifting door</t>
  </si>
  <si>
    <t>升降门</t>
  </si>
  <si>
    <t>Laser scanner；safety sensor；area scanner</t>
  </si>
  <si>
    <t>区扫</t>
  </si>
  <si>
    <t>light curtain；light fence；light barrier</t>
  </si>
  <si>
    <t>光栅；光幕</t>
  </si>
  <si>
    <t>safety fence；physical barrier</t>
  </si>
  <si>
    <t>安全围栏</t>
  </si>
  <si>
    <t>safety lock</t>
  </si>
  <si>
    <t>安全锁</t>
  </si>
  <si>
    <t>safety door</t>
  </si>
  <si>
    <t>安全门</t>
  </si>
  <si>
    <t>light deflector</t>
  </si>
  <si>
    <t>遮光帘，遮光幕；遮光板；挡光板</t>
  </si>
  <si>
    <t>rough</t>
  </si>
  <si>
    <t>初版的，大概的</t>
  </si>
  <si>
    <t>Fitting line；finishing line</t>
  </si>
  <si>
    <t>装配线；装配调整线</t>
  </si>
  <si>
    <t>expansion joint；extension joint；dilatation joint；dilatation gap；ground crack？</t>
  </si>
  <si>
    <t>伸缩缝/地缝：适用于混凝土之间，防止因温度变化而形成裂缝</t>
  </si>
  <si>
    <t>water saver；throttle valve；flow meter</t>
  </si>
  <si>
    <t>节流阀；流量计</t>
  </si>
  <si>
    <t>pressure regulator；gas regulator</t>
  </si>
  <si>
    <t>调压器</t>
  </si>
  <si>
    <t>shutoff valve</t>
  </si>
  <si>
    <t>关闭阀;切断阀</t>
  </si>
  <si>
    <t>column；post；pillar</t>
  </si>
  <si>
    <t>立柱</t>
  </si>
  <si>
    <t>center post</t>
  </si>
  <si>
    <t>中心立柱</t>
  </si>
  <si>
    <t>water unit；water stand</t>
  </si>
  <si>
    <t>水单元</t>
  </si>
  <si>
    <t>气单元</t>
  </si>
  <si>
    <t>HIP；header</t>
  </si>
  <si>
    <t>水气站(header也有标题的意思)</t>
  </si>
  <si>
    <t>RIP-regular interface panel</t>
  </si>
  <si>
    <t>水气单元或水单元或气单元；水气管；水气排</t>
  </si>
  <si>
    <t>junction box</t>
  </si>
  <si>
    <t>接线盒</t>
  </si>
  <si>
    <t>feeding hose</t>
  </si>
  <si>
    <t>送丝管</t>
  </si>
  <si>
    <t>wire cutting</t>
  </si>
  <si>
    <t>剪丝</t>
  </si>
  <si>
    <t>wire barrel；wire drum</t>
  </si>
  <si>
    <t>送丝桶</t>
  </si>
  <si>
    <t>wire drum hood</t>
  </si>
  <si>
    <t>丝桶盖</t>
  </si>
  <si>
    <t>throat depth</t>
  </si>
  <si>
    <t>喉深</t>
  </si>
  <si>
    <t>wall pass through kit</t>
  </si>
  <si>
    <t>穿墙接头</t>
  </si>
  <si>
    <t>base material+activator material</t>
  </si>
  <si>
    <t>指两个胶泵系统（双组分胶系统，即两种不同的胶），activator可以理解为一个引子</t>
  </si>
  <si>
    <t>sealer pump</t>
  </si>
  <si>
    <t>胶泵 （最右侧图片是双胶泵，同一种胶，一个控制柜）</t>
  </si>
  <si>
    <t>cable</t>
  </si>
  <si>
    <t>（涂）胶管；管线</t>
  </si>
  <si>
    <t>aisle;walkway；walking path</t>
  </si>
  <si>
    <t>通道；维修通道</t>
  </si>
  <si>
    <t>shielding gas</t>
  </si>
  <si>
    <t>保护气体</t>
  </si>
  <si>
    <t>pressure leak</t>
  </si>
  <si>
    <t>漏气</t>
  </si>
  <si>
    <t>gas distribution block</t>
  </si>
  <si>
    <t>分气块</t>
  </si>
  <si>
    <t>pneumatic circuit；pneumatic loop</t>
  </si>
  <si>
    <t>气动回路</t>
  </si>
  <si>
    <t>gas bottle；air bottle；gas cylinder</t>
  </si>
  <si>
    <t>气瓶</t>
  </si>
  <si>
    <t>solenoid valve；magnetic valve</t>
  </si>
  <si>
    <t>电磁阀</t>
  </si>
  <si>
    <t>pressure switch</t>
  </si>
  <si>
    <t>压力开关</t>
  </si>
  <si>
    <t>gas input</t>
  </si>
  <si>
    <t>进气；</t>
  </si>
  <si>
    <t>fittings？</t>
  </si>
  <si>
    <t>配件</t>
  </si>
  <si>
    <t>distribution bar</t>
  </si>
  <si>
    <t>分线排</t>
  </si>
  <si>
    <t>bellow</t>
  </si>
  <si>
    <t>波纹管</t>
  </si>
  <si>
    <t>argon circuit</t>
  </si>
  <si>
    <t>氩气回路</t>
  </si>
  <si>
    <t>pressure air</t>
  </si>
  <si>
    <t>压缩空气</t>
  </si>
  <si>
    <t>gas flow</t>
  </si>
  <si>
    <t>气流量</t>
  </si>
  <si>
    <t>valve manifold</t>
  </si>
  <si>
    <t>阀门；阀箱</t>
  </si>
  <si>
    <t>air drop；power drop；water drop</t>
  </si>
  <si>
    <t>气落点；电落点；水落点</t>
  </si>
  <si>
    <t>MCP</t>
  </si>
  <si>
    <t>主控柜</t>
  </si>
  <si>
    <t>PDP-power distribution panel</t>
  </si>
  <si>
    <t>动力分配柜</t>
  </si>
  <si>
    <t>MPDP</t>
  </si>
  <si>
    <t>电柜（PDP的一种）；配电柜</t>
  </si>
  <si>
    <t>weld water</t>
  </si>
  <si>
    <t>焊接冷却水</t>
  </si>
  <si>
    <t>flow sensor</t>
  </si>
  <si>
    <t>流量传感器</t>
  </si>
  <si>
    <t>air vent</t>
  </si>
  <si>
    <t>通风孔</t>
  </si>
  <si>
    <t>plan view</t>
  </si>
  <si>
    <t>平面图</t>
  </si>
  <si>
    <t>elevation view</t>
  </si>
  <si>
    <t>正视图</t>
  </si>
  <si>
    <t>螺柱（没有头部的，仅有两端均外带螺纹的一类紧固件。）</t>
  </si>
  <si>
    <t>螺栓（螺栓是一头带有螺栓头，通常为六角形、外圆柱内六角形、或者沉头带有一字型或十字型槽的螺栓头，另一端全段或者部分长度上带有螺纹的紧固零件，紧固时只有带螺纹的一端需要配螺母来实现紧固）</t>
  </si>
  <si>
    <t>nut</t>
  </si>
  <si>
    <t>螺母</t>
  </si>
  <si>
    <t>screw</t>
  </si>
  <si>
    <t>螺丝；螺钉</t>
  </si>
  <si>
    <t>setting out</t>
  </si>
  <si>
    <t>落位</t>
  </si>
  <si>
    <t>Ground cable</t>
  </si>
  <si>
    <t>接地线</t>
  </si>
  <si>
    <t>Routing cables</t>
  </si>
  <si>
    <t>布线</t>
  </si>
  <si>
    <t>plumbing</t>
  </si>
  <si>
    <t>管道</t>
  </si>
  <si>
    <t>notch</t>
  </si>
  <si>
    <t>凹槽（可以用来表示放线缆的凹槽或孔）</t>
  </si>
  <si>
    <t>elbow；bent pipe</t>
  </si>
  <si>
    <t>弯头</t>
  </si>
  <si>
    <t>pipe clamp</t>
  </si>
  <si>
    <t>管卡</t>
  </si>
  <si>
    <t>stairs</t>
  </si>
  <si>
    <t>楼梯</t>
  </si>
  <si>
    <t>be relative to</t>
  </si>
  <si>
    <t>以......为基准</t>
  </si>
  <si>
    <t>tangent</t>
  </si>
  <si>
    <t>一种显示屏</t>
  </si>
  <si>
    <t>Centerline</t>
  </si>
  <si>
    <t>森德莱（Mino子公司，合资公司）</t>
  </si>
  <si>
    <t>INOVANCE</t>
  </si>
  <si>
    <t>汇川（变频器品牌）</t>
  </si>
  <si>
    <t>BAIGO</t>
  </si>
  <si>
    <t>百舸（品牌名）</t>
  </si>
  <si>
    <t>Balluf</t>
  </si>
  <si>
    <t>巴鲁夫（传感器品牌）</t>
  </si>
  <si>
    <t>HONGBAI</t>
  </si>
  <si>
    <t>鸿柏（焊机品牌）</t>
  </si>
  <si>
    <t>Dotran</t>
  </si>
  <si>
    <t>德容（气缸品牌）</t>
  </si>
  <si>
    <t>Henrob</t>
  </si>
  <si>
    <t>铆接工艺品牌/供应商</t>
  </si>
  <si>
    <t>ABB；KUKA；FANUC</t>
  </si>
  <si>
    <t>机器人品牌</t>
  </si>
  <si>
    <t>Cognex</t>
  </si>
  <si>
    <t>康耐视-相机品牌</t>
  </si>
  <si>
    <t>Tuenkers</t>
  </si>
  <si>
    <t>德珂斯（公司名）</t>
  </si>
  <si>
    <t>Loctite 242</t>
  </si>
  <si>
    <t>乐泰（美国胶水品牌）/242螺纹胶</t>
  </si>
  <si>
    <t>EFD</t>
  </si>
  <si>
    <t>易孚迪感应设备（上海）有限公司-做感应加热工艺的</t>
  </si>
  <si>
    <t>Kawasaki</t>
  </si>
  <si>
    <t>川崎机器人</t>
  </si>
  <si>
    <t>Sick；Keyence</t>
  </si>
  <si>
    <t>明珞常用光电开关品牌：西克、基恩士</t>
  </si>
  <si>
    <t>THK rail</t>
  </si>
  <si>
    <t>日本的直线导轨品牌</t>
  </si>
  <si>
    <t>Prima</t>
  </si>
  <si>
    <t>激光切割厂家</t>
  </si>
  <si>
    <t>Bleichert</t>
  </si>
  <si>
    <t>布莱切特：气缸供应商</t>
  </si>
  <si>
    <t>PIAB</t>
  </si>
  <si>
    <t>派亚博：吸盘品牌</t>
  </si>
  <si>
    <t>windshield</t>
  </si>
  <si>
    <t>挡风玻璃</t>
  </si>
  <si>
    <t>suspension strut</t>
  </si>
  <si>
    <t>悬架</t>
  </si>
  <si>
    <t>building blocks standard</t>
  </si>
  <si>
    <t>积木式</t>
  </si>
  <si>
    <t>conveyor</t>
  </si>
  <si>
    <t>输送机；输送设备</t>
  </si>
  <si>
    <t>roller conveyor</t>
  </si>
  <si>
    <t>滚筒输送机；积放式滚道</t>
  </si>
  <si>
    <t>fabrication</t>
  </si>
  <si>
    <t>制造；加工</t>
  </si>
  <si>
    <t>thread glue</t>
  </si>
  <si>
    <t>螺纹胶</t>
  </si>
  <si>
    <t>splined shaft</t>
  </si>
  <si>
    <t>花键轴</t>
  </si>
  <si>
    <t>reserve robot</t>
  </si>
  <si>
    <t>预留机器人</t>
  </si>
  <si>
    <t>buffer station</t>
  </si>
  <si>
    <t>缓冲工位</t>
  </si>
  <si>
    <t>closure covers</t>
  </si>
  <si>
    <t>门盖覆盖件</t>
  </si>
  <si>
    <t>power on</t>
  </si>
  <si>
    <t>上电</t>
  </si>
  <si>
    <t>power off</t>
  </si>
  <si>
    <t>断电</t>
  </si>
  <si>
    <t>clockwise</t>
  </si>
  <si>
    <t>顺时针</t>
  </si>
  <si>
    <t>counterclockwise</t>
  </si>
  <si>
    <t>逆时针</t>
  </si>
  <si>
    <t>piercing test</t>
  </si>
  <si>
    <t>冲孔测试</t>
  </si>
  <si>
    <t>coupon</t>
  </si>
  <si>
    <t>样片</t>
  </si>
  <si>
    <t>punched coupon</t>
  </si>
  <si>
    <t>冲孔样片</t>
  </si>
  <si>
    <t>FRL（filter，relief valve/regulator; lubricator）</t>
  </si>
  <si>
    <t>三联件（过滤器、减压阀，油雾器）；（二联件：过滤器和减压阀；一联件：减压阀）</t>
  </si>
  <si>
    <t>external</t>
  </si>
  <si>
    <t>外置的</t>
  </si>
  <si>
    <t>melt spot</t>
  </si>
  <si>
    <t>熔核</t>
  </si>
  <si>
    <t>base metal</t>
  </si>
  <si>
    <t>母材</t>
  </si>
  <si>
    <t>Filler metal</t>
  </si>
  <si>
    <t>焊料</t>
  </si>
  <si>
    <t>consumable electrode</t>
  </si>
  <si>
    <t>熔化电极</t>
  </si>
  <si>
    <t>保护气体，</t>
  </si>
  <si>
    <t>turn over</t>
  </si>
  <si>
    <t>翻转机构</t>
  </si>
  <si>
    <t>0位传感器</t>
  </si>
  <si>
    <t>shielded metal arc welding</t>
  </si>
  <si>
    <t>焊条电弧焊；手工电弧焊</t>
  </si>
  <si>
    <t>MCR/ECR/ECO/EC</t>
  </si>
  <si>
    <t>54.MCR-Manufacturing change request吉利叫法；ECO-engineering change order是Rivian叫法；ECR-engineering change request 特斯拉或其他项目叫法</t>
  </si>
  <si>
    <t>Isvision</t>
  </si>
  <si>
    <t>易思维视觉系统</t>
  </si>
  <si>
    <t>laser traceability</t>
  </si>
  <si>
    <t>激光打码</t>
  </si>
  <si>
    <t>life expectancy</t>
  </si>
  <si>
    <t>使用寿命</t>
  </si>
  <si>
    <t>divider</t>
  </si>
  <si>
    <t>分割器</t>
  </si>
  <si>
    <t>punching；piercing</t>
  </si>
  <si>
    <t>冲孔</t>
  </si>
  <si>
    <t>zoom out</t>
  </si>
  <si>
    <t>缩小</t>
  </si>
  <si>
    <t>zoom in</t>
  </si>
  <si>
    <t>放大</t>
  </si>
  <si>
    <t>blank</t>
  </si>
  <si>
    <t>隐去</t>
  </si>
  <si>
    <t>shutdown</t>
  </si>
  <si>
    <t>停线</t>
  </si>
  <si>
    <t>方管</t>
  </si>
  <si>
    <t>threaded rod</t>
  </si>
  <si>
    <t>螺纹杆；螺杆（一种具有螺纹的金属杆，通常用于连接、固定或支撑各种物体）</t>
  </si>
  <si>
    <t>trench</t>
  </si>
  <si>
    <t>沟槽</t>
  </si>
  <si>
    <t>LOP-List of open problems；findings list</t>
  </si>
  <si>
    <t>问题点清单</t>
  </si>
  <si>
    <t>try out</t>
  </si>
  <si>
    <t>试验</t>
  </si>
  <si>
    <t>ramp</t>
  </si>
  <si>
    <t>斜坡；坡道</t>
  </si>
  <si>
    <t>ramp up production</t>
  </si>
  <si>
    <t>增加产量；提升产量</t>
  </si>
  <si>
    <t>FDL</t>
  </si>
  <si>
    <t>前门左侧</t>
  </si>
  <si>
    <t>FDR</t>
  </si>
  <si>
    <t>前门右侧</t>
  </si>
  <si>
    <t>RDL</t>
  </si>
  <si>
    <t>后门左侧</t>
  </si>
  <si>
    <t>RDR</t>
  </si>
  <si>
    <t>后门右侧</t>
  </si>
  <si>
    <t>casting weld</t>
  </si>
  <si>
    <t>铸件焊接</t>
  </si>
  <si>
    <t>VC=visual commissioning；implementation</t>
  </si>
  <si>
    <t>虚拟调试</t>
  </si>
  <si>
    <t>halfway point</t>
  </si>
  <si>
    <t>中间点</t>
  </si>
  <si>
    <t>activator</t>
  </si>
  <si>
    <t>凝固剂；引子</t>
  </si>
  <si>
    <t>splitter</t>
  </si>
  <si>
    <t>分支器；分胶管；分离器</t>
  </si>
  <si>
    <t>trim edge</t>
  </si>
  <si>
    <t>剪切边</t>
  </si>
  <si>
    <t>reset</t>
  </si>
  <si>
    <t>复位</t>
  </si>
  <si>
    <t>tunnage</t>
  </si>
  <si>
    <t>尼龙块</t>
  </si>
  <si>
    <t>shift register</t>
  </si>
  <si>
    <t>移位寄存器</t>
  </si>
  <si>
    <t>beam</t>
  </si>
  <si>
    <t>flimsy</t>
  </si>
  <si>
    <t>强度不够=not rigid</t>
  </si>
  <si>
    <t>packing list</t>
  </si>
  <si>
    <t>装箱单</t>
  </si>
  <si>
    <t>stack up tolerance</t>
  </si>
  <si>
    <t>累积误差</t>
  </si>
  <si>
    <t>screw tap</t>
  </si>
  <si>
    <t>丝锥</t>
  </si>
  <si>
    <t>floating mechanism</t>
  </si>
  <si>
    <t>浮动机构</t>
  </si>
  <si>
    <t>steel tube</t>
  </si>
  <si>
    <t>钢管</t>
  </si>
  <si>
    <t>fume extractor</t>
  </si>
  <si>
    <t>除尘/排烟装置</t>
  </si>
  <si>
    <t>gas diagram；pneumatic drawing；air circuit drawing；P-plan</t>
  </si>
  <si>
    <t>气路图</t>
  </si>
  <si>
    <t>power supply</t>
  </si>
  <si>
    <t>电源</t>
  </si>
  <si>
    <t>air hood；wind cover</t>
  </si>
  <si>
    <t>风罩</t>
  </si>
  <si>
    <t>air duct</t>
  </si>
  <si>
    <t>风管</t>
  </si>
  <si>
    <t>vin code （vehicle identification number）</t>
  </si>
  <si>
    <t>车辆识别码</t>
  </si>
  <si>
    <t>lap;bond</t>
  </si>
  <si>
    <t>搭接</t>
  </si>
  <si>
    <t>SUB area</t>
  </si>
  <si>
    <t>分拼区域</t>
  </si>
  <si>
    <t>JIRA ticket</t>
  </si>
  <si>
    <t>JIRA 问题点</t>
  </si>
  <si>
    <t>sign off</t>
  </si>
  <si>
    <t>签字确认</t>
  </si>
  <si>
    <t>checking gauge</t>
  </si>
  <si>
    <t>校对规；量规</t>
  </si>
  <si>
    <t>Curvature</t>
  </si>
  <si>
    <t>我们常说的曲面客户那边的叫法</t>
  </si>
  <si>
    <t>acute angle</t>
  </si>
  <si>
    <t>锐角</t>
  </si>
  <si>
    <t>abtuse angle</t>
  </si>
  <si>
    <t>钝角</t>
  </si>
  <si>
    <t>OSHA standard</t>
  </si>
  <si>
    <t>职业安全与健康标准</t>
  </si>
  <si>
    <t>tripping hazard</t>
  </si>
  <si>
    <t>绊倒的危险；（工人）很容易绊倒</t>
  </si>
  <si>
    <t>master</t>
  </si>
  <si>
    <t>样板</t>
  </si>
  <si>
    <t>master section</t>
  </si>
  <si>
    <t>人机交互；工件姿态</t>
  </si>
  <si>
    <t>ergonomics</t>
  </si>
  <si>
    <t>人机</t>
  </si>
  <si>
    <t>kick off meeting</t>
  </si>
  <si>
    <t>启动会</t>
  </si>
  <si>
    <t>gauge</t>
  </si>
  <si>
    <t>厚度；宽度</t>
  </si>
  <si>
    <t>top left corner</t>
  </si>
  <si>
    <t>左上角</t>
  </si>
  <si>
    <t>bottom left corner</t>
  </si>
  <si>
    <t>左下角</t>
  </si>
  <si>
    <t>Gigafactory</t>
  </si>
  <si>
    <t>特斯拉超级工厂</t>
  </si>
  <si>
    <t>door ring</t>
  </si>
  <si>
    <t>门环件</t>
  </si>
  <si>
    <t>rack slot</t>
  </si>
  <si>
    <t>架槽</t>
  </si>
  <si>
    <t>feed the part</t>
  </si>
  <si>
    <t>上料；装工件</t>
  </si>
  <si>
    <t>power wall</t>
  </si>
  <si>
    <t>能量墙</t>
  </si>
  <si>
    <t>solar roof</t>
  </si>
  <si>
    <t>太阳能屋顶</t>
  </si>
  <si>
    <t>solar panel</t>
  </si>
  <si>
    <t>太阳能电池板</t>
  </si>
  <si>
    <t>EPJ=electric pallet Jack/truck</t>
  </si>
  <si>
    <t>concrete pad</t>
  </si>
  <si>
    <t>混凝土板</t>
  </si>
  <si>
    <t>wheel arch</t>
  </si>
  <si>
    <t>车轮拱</t>
  </si>
  <si>
    <t>vision mastering</t>
  </si>
  <si>
    <t>视觉零位功能</t>
  </si>
  <si>
    <t>vision shift</t>
  </si>
  <si>
    <t>视觉替换功能</t>
  </si>
  <si>
    <t>tilted</t>
  </si>
  <si>
    <t>倾斜的</t>
  </si>
  <si>
    <t>drag train</t>
  </si>
  <si>
    <t>拖链</t>
  </si>
  <si>
    <t>concept；proposal</t>
  </si>
  <si>
    <t>方案</t>
  </si>
  <si>
    <t>software package</t>
  </si>
  <si>
    <t>软件包</t>
  </si>
  <si>
    <t>cold weld</t>
  </si>
  <si>
    <t>冷焊</t>
  </si>
  <si>
    <t>Exhaust</t>
  </si>
  <si>
    <t>排气管</t>
  </si>
  <si>
    <t>Grinding</t>
  </si>
  <si>
    <t>打磨</t>
  </si>
  <si>
    <t>operator；manpower</t>
  </si>
  <si>
    <t>工人</t>
  </si>
  <si>
    <t>countersink；counter head</t>
  </si>
  <si>
    <t>沉头</t>
  </si>
  <si>
    <t>counterbore</t>
  </si>
  <si>
    <t>沉头孔</t>
  </si>
  <si>
    <t>Foot plate （lock）</t>
  </si>
  <si>
    <t>脚刹</t>
  </si>
  <si>
    <t>Equipment tracker</t>
  </si>
  <si>
    <t>设备跟踪器</t>
  </si>
  <si>
    <t>Section C/D</t>
  </si>
  <si>
    <t>指C包、D包</t>
  </si>
  <si>
    <t>Mounting pattern</t>
  </si>
  <si>
    <t>安装模式</t>
  </si>
  <si>
    <t>Operator box</t>
  </si>
  <si>
    <t>工人控制柜</t>
  </si>
  <si>
    <t>speed reducer</t>
  </si>
  <si>
    <t>减速机</t>
  </si>
  <si>
    <t>encoder</t>
  </si>
  <si>
    <t>编码器；编码尺</t>
  </si>
  <si>
    <t>Cutoff date=deadline</t>
  </si>
  <si>
    <t>截止日期</t>
  </si>
  <si>
    <t>standalone</t>
  </si>
  <si>
    <t>独立的；独立运行的</t>
  </si>
  <si>
    <t>Circuit breaker</t>
  </si>
  <si>
    <t>断路器</t>
  </si>
  <si>
    <t>breaker</t>
  </si>
  <si>
    <t>断电器</t>
  </si>
  <si>
    <t>Hybrid cable</t>
  </si>
  <si>
    <t>混合电缆</t>
  </si>
  <si>
    <t>predicament</t>
  </si>
  <si>
    <t>窘况；困境；状态</t>
  </si>
  <si>
    <t>For ease of</t>
  </si>
  <si>
    <t>以便于</t>
  </si>
  <si>
    <t>spaghetti chart</t>
  </si>
  <si>
    <t>意大利面条图：是按照一件产品沿着价值流各生产步骤路径的所绘制的图。之所以叫这个名字，是因为大批量制造路径非常复杂，通常看起来像一盘意大利面条。</t>
  </si>
  <si>
    <t>Back to back</t>
  </si>
  <si>
    <t>连续</t>
  </si>
  <si>
    <t>Heat dissipation</t>
  </si>
  <si>
    <t>散热</t>
  </si>
  <si>
    <t>Rebar</t>
  </si>
  <si>
    <t>螺纹钢筋</t>
  </si>
  <si>
    <t>seal ring</t>
  </si>
  <si>
    <t>密封圈（G螺纹的密封圈也叫O-ring）</t>
  </si>
  <si>
    <t>Plan view=top view</t>
  </si>
  <si>
    <t>俯视图</t>
  </si>
  <si>
    <t>Pipe joint</t>
  </si>
  <si>
    <t>管接头</t>
  </si>
  <si>
    <t>recessed；</t>
  </si>
  <si>
    <t>凹进去的；陷进去的</t>
  </si>
  <si>
    <t>recess；depression</t>
  </si>
  <si>
    <t>凹槽</t>
  </si>
  <si>
    <t>Reject</t>
  </si>
  <si>
    <t>做名词用时在这里指“次品，不良品”</t>
  </si>
  <si>
    <t>plexiglass；plexy glass</t>
  </si>
  <si>
    <t>有机玻璃；树脂玻璃</t>
  </si>
  <si>
    <t>monkey with</t>
  </si>
  <si>
    <t>摆弄，乱动：指不经意地或无目的地触碰或操作某物，可能导致损坏或不良后果。</t>
  </si>
  <si>
    <t>overtax；over tax</t>
  </si>
  <si>
    <t>使负担过重</t>
  </si>
  <si>
    <t>ball valve</t>
  </si>
  <si>
    <t>球阀</t>
  </si>
  <si>
    <t>lockout valve</t>
  </si>
  <si>
    <t>锁定阀</t>
  </si>
  <si>
    <t>check valve</t>
  </si>
  <si>
    <t>止回阀</t>
  </si>
  <si>
    <t>swing check valve</t>
  </si>
  <si>
    <t>摆动式止回阀</t>
  </si>
  <si>
    <t>ductwork</t>
  </si>
  <si>
    <t>管道系统</t>
  </si>
  <si>
    <t>R1T，R1S</t>
  </si>
  <si>
    <t>Rivian车型，分别为电动皮卡和SUV</t>
  </si>
  <si>
    <t>turbine</t>
  </si>
  <si>
    <t>涡轮</t>
  </si>
  <si>
    <t>管夹</t>
  </si>
  <si>
    <t>TM=team member</t>
  </si>
  <si>
    <t>工人——Rivian</t>
  </si>
  <si>
    <t>pulse encoder</t>
  </si>
  <si>
    <t>脉冲编码器</t>
  </si>
  <si>
    <t>cartridge</t>
  </si>
  <si>
    <t>表示一种装东西的罐，比如装润滑油的罐；套筒</t>
  </si>
  <si>
    <t>ube=lubrication</t>
  </si>
  <si>
    <t>润滑油</t>
  </si>
  <si>
    <t>Spot check</t>
  </si>
  <si>
    <t>抽查</t>
  </si>
  <si>
    <t>passivation</t>
  </si>
  <si>
    <t>钝化工艺</t>
  </si>
  <si>
    <t>transformer</t>
  </si>
  <si>
    <t>变压器</t>
  </si>
  <si>
    <t>verbally</t>
  </si>
  <si>
    <t>口头上的</t>
  </si>
  <si>
    <t>cage</t>
  </si>
  <si>
    <t>笼子</t>
  </si>
  <si>
    <t>joint</t>
  </si>
  <si>
    <t>连接信息/连接工艺：包括焊点、螺柱、涂胶等</t>
  </si>
  <si>
    <t>service part；service component</t>
  </si>
  <si>
    <t>服务件</t>
  </si>
  <si>
    <t>RFF=Rivian front floor; RFS=Rivian front structure</t>
  </si>
  <si>
    <t>前地板；机舱</t>
  </si>
  <si>
    <t>fastener equipment</t>
  </si>
  <si>
    <t>紧固件设备</t>
  </si>
  <si>
    <t>fill in/fill out</t>
  </si>
  <si>
    <t>填写</t>
  </si>
  <si>
    <t>clean up</t>
  </si>
  <si>
    <t>整理（表格、文件等）</t>
  </si>
  <si>
    <t>matrix</t>
  </si>
  <si>
    <t>一种表格</t>
  </si>
  <si>
    <t>Robot matrix</t>
  </si>
  <si>
    <t>机器人清单</t>
  </si>
  <si>
    <t>Rivian Add In</t>
  </si>
  <si>
    <t>Rivian的一个软件</t>
  </si>
  <si>
    <t>point cloud file；3D scanning data</t>
  </si>
  <si>
    <t>点云；3D 扫描数据</t>
  </si>
  <si>
    <t>function</t>
  </si>
  <si>
    <t>函数</t>
  </si>
  <si>
    <t>jam nut</t>
  </si>
  <si>
    <t>锁紧螺母</t>
  </si>
  <si>
    <t>locknut</t>
  </si>
  <si>
    <t>防松螺母</t>
  </si>
  <si>
    <t>boundary</t>
  </si>
  <si>
    <t>边界</t>
  </si>
  <si>
    <t>焊后绘图</t>
  </si>
  <si>
    <t>TCF-Trim-Chassis-Final</t>
  </si>
  <si>
    <t>总装工艺：在总装工艺段，车辆要装配内饰(Trim)、底盘(Chassis)，并进行终装(Final)</t>
  </si>
  <si>
    <t>HMI-human-machine interface</t>
  </si>
  <si>
    <t>触摸屏/人机界面</t>
  </si>
  <si>
    <t>plant floor</t>
  </si>
  <si>
    <t>工厂车间</t>
  </si>
  <si>
    <t>schedule 80=SCH80</t>
  </si>
  <si>
    <t>表示壁厚</t>
  </si>
  <si>
    <t>series installation</t>
  </si>
  <si>
    <t>串联安装</t>
  </si>
  <si>
    <t>Tri seal washer</t>
  </si>
  <si>
    <t>密封垫圈；密封胶圈；密封圈</t>
  </si>
  <si>
    <t>applicable</t>
  </si>
  <si>
    <t>可用的</t>
  </si>
  <si>
    <t>checkbox</t>
  </si>
  <si>
    <t>复选框</t>
  </si>
  <si>
    <t>legacy tab</t>
  </si>
  <si>
    <t>选项卡</t>
  </si>
  <si>
    <t>converter；VFD-Variable Frequency Drive</t>
  </si>
  <si>
    <t>变频器</t>
  </si>
  <si>
    <t>Actual part</t>
  </si>
  <si>
    <t>上机件</t>
  </si>
  <si>
    <t>lift gate；liftgate</t>
  </si>
  <si>
    <t>行李箱盖？</t>
  </si>
  <si>
    <t>footprint；foot</t>
  </si>
  <si>
    <t>占用空间</t>
  </si>
  <si>
    <t>casting</t>
  </si>
  <si>
    <t>精料 (仅针对MBTE-23033)</t>
  </si>
  <si>
    <t>biscuit</t>
  </si>
  <si>
    <t>毛料 (仅针对MBTE-23033)</t>
  </si>
  <si>
    <t>Floor</t>
  </si>
  <si>
    <t>根据语境可以是“现场”的意思，比如客户会问设计/仿真/布局等是不是跟floor（现场）一致。</t>
  </si>
  <si>
    <t>cost neutral</t>
  </si>
  <si>
    <t>成本中性：指在某个方案或决策中，不会增加或减少成本，即成本不会发生变化。</t>
  </si>
  <si>
    <t>indentation；pressure mark？</t>
  </si>
  <si>
    <t>压痕</t>
  </si>
  <si>
    <t>right angle</t>
  </si>
  <si>
    <t>直角</t>
  </si>
  <si>
    <t>control</t>
  </si>
  <si>
    <t>控件？</t>
  </si>
  <si>
    <t>connector</t>
  </si>
  <si>
    <t>连接器</t>
  </si>
  <si>
    <t>bell product</t>
  </si>
  <si>
    <t>钟形产品</t>
  </si>
  <si>
    <t>draw bead</t>
  </si>
  <si>
    <t>（产品上的）拉伸筋</t>
  </si>
  <si>
    <t>drainer</t>
  </si>
  <si>
    <t>下水孔</t>
  </si>
  <si>
    <t>finite element analysis-FEA</t>
  </si>
  <si>
    <t>有限元分析</t>
  </si>
  <si>
    <t>brushing robot</t>
  </si>
  <si>
    <t>清理机器人</t>
  </si>
  <si>
    <t>MAG/MIG welding machine</t>
  </si>
  <si>
    <t>MAG/MIG气体保护焊机</t>
  </si>
  <si>
    <t>rotational inertia</t>
  </si>
  <si>
    <t>转动惯量</t>
  </si>
  <si>
    <t>motor</t>
  </si>
  <si>
    <t>电机</t>
  </si>
  <si>
    <t>rigging</t>
  </si>
  <si>
    <t>索具</t>
  </si>
  <si>
    <t>adhesive 1k；adhesive 2k</t>
  </si>
  <si>
    <t>1k指一种成分，2k指两种成分</t>
  </si>
  <si>
    <t>RFID-Radio Frequency Identification</t>
  </si>
  <si>
    <t>无线射频识别</t>
  </si>
  <si>
    <t>framer gate</t>
  </si>
  <si>
    <t>合装机构；合拼机构</t>
  </si>
  <si>
    <t>safety factor</t>
  </si>
  <si>
    <t>安全系数</t>
  </si>
  <si>
    <t>a multiple factor of safety</t>
  </si>
  <si>
    <t>多倍的安全系数</t>
  </si>
  <si>
    <t>rubber cover</t>
  </si>
  <si>
    <t>橡胶蒙皮</t>
  </si>
  <si>
    <t>catch on...?</t>
  </si>
  <si>
    <t>卡住</t>
  </si>
  <si>
    <t>rubber coated wheel</t>
  </si>
  <si>
    <t>包胶轮</t>
  </si>
  <si>
    <t>table：to delay discussion of a subject</t>
  </si>
  <si>
    <t>V. 搁置；暂停讨论(美国明珞David爱用)</t>
  </si>
  <si>
    <t>compressed air line</t>
  </si>
  <si>
    <t>压缩空气管道</t>
  </si>
  <si>
    <t>e-stop</t>
  </si>
  <si>
    <t>急停按钮</t>
  </si>
  <si>
    <t>reassemble</t>
  </si>
  <si>
    <t>重装</t>
  </si>
  <si>
    <t>stack light</t>
  </si>
  <si>
    <t>多层指示灯/信号灯:将设备状态或者传输状态以视觉和声音信号传递给机器操作人员，技术员，生产管理员和工厂人员的信号灯。</t>
  </si>
  <si>
    <t>direct sb. to sth....</t>
  </si>
  <si>
    <t>告诉某人......</t>
  </si>
  <si>
    <t>hose and wiring clamp</t>
  </si>
  <si>
    <t>管路和管夹</t>
  </si>
  <si>
    <t>glue dispenser</t>
  </si>
  <si>
    <t>涂胶机器人</t>
  </si>
  <si>
    <t>Programming change</t>
  </si>
  <si>
    <t>（机器人）路径编程</t>
  </si>
  <si>
    <t>lifter part table</t>
  </si>
  <si>
    <t>升降上件台</t>
  </si>
  <si>
    <t>black oxide</t>
  </si>
  <si>
    <t>发黑；黑氧化；</t>
  </si>
  <si>
    <t>toning fork</t>
  </si>
  <si>
    <t>音叉</t>
  </si>
  <si>
    <t>residue container；glue bucket</t>
  </si>
  <si>
    <t>涂胶桶；接胶桶</t>
  </si>
  <si>
    <t>antirust oil</t>
  </si>
  <si>
    <t>防锈油</t>
  </si>
  <si>
    <t>jackscrew</t>
  </si>
  <si>
    <t>顶丝</t>
  </si>
  <si>
    <t>dummy；reference</t>
  </si>
  <si>
    <t>仿形件;示意（reference）</t>
  </si>
  <si>
    <t>end-of travel limit switch</t>
  </si>
  <si>
    <t>行程终端限位开关</t>
  </si>
  <si>
    <t>galvanized</t>
  </si>
  <si>
    <t>镀锌</t>
  </si>
  <si>
    <t>yellow galvanized</t>
  </si>
  <si>
    <t>镀彩锌</t>
  </si>
  <si>
    <t>pixel</t>
  </si>
  <si>
    <t>像素</t>
  </si>
  <si>
    <t>anti drop hook</t>
  </si>
  <si>
    <t>防脱钩</t>
  </si>
  <si>
    <t>line builder</t>
  </si>
  <si>
    <t>线体供应商</t>
  </si>
  <si>
    <t>shots</t>
  </si>
  <si>
    <t>拍照次数</t>
  </si>
  <si>
    <t>displacement meter</t>
  </si>
  <si>
    <t>容积式流量计；位移计</t>
  </si>
  <si>
    <t>major point of contact</t>
  </si>
  <si>
    <t>主要联系人</t>
  </si>
  <si>
    <t>singularity</t>
  </si>
  <si>
    <t>（机器人）奇异点</t>
  </si>
  <si>
    <t>base plate</t>
  </si>
  <si>
    <t>base光板</t>
  </si>
  <si>
    <t>be normal to</t>
  </si>
  <si>
    <t>与......垂直；垂直于......</t>
  </si>
  <si>
    <t>compact flash card</t>
  </si>
  <si>
    <t>闪存卡：一种小型、便携式的存储设备</t>
  </si>
  <si>
    <t>flash memory</t>
  </si>
  <si>
    <t>闪存</t>
  </si>
  <si>
    <t>eye bolt</t>
  </si>
  <si>
    <t>吊环螺栓；环形螺栓：一种具有环形孔的螺栓，通常用于固定物体或用作吊装设备</t>
  </si>
  <si>
    <t>power meter</t>
  </si>
  <si>
    <t>功率计</t>
  </si>
  <si>
    <t>red lighting</t>
  </si>
  <si>
    <t>红色光源</t>
  </si>
  <si>
    <t>bandpass filter</t>
  </si>
  <si>
    <t>滤光片</t>
  </si>
  <si>
    <t>fastening bolt</t>
  </si>
  <si>
    <t>连接螺栓</t>
  </si>
  <si>
    <t>step feeder：a type of automated part feeding system that uses a series of steps to feed parts into a machine.</t>
  </si>
  <si>
    <t>料斗：送钉机构上面的一个部件，就是一个装钉子的料斗</t>
  </si>
  <si>
    <t>revolver</t>
  </si>
  <si>
    <t>反转机构：装在FDS枪上的</t>
  </si>
  <si>
    <t>straight;horizontal and vertical</t>
  </si>
  <si>
    <t>横平竖直</t>
  </si>
  <si>
    <t>brake cylinder</t>
  </si>
  <si>
    <t>制动缸</t>
  </si>
  <si>
    <t>moment of inertia</t>
  </si>
  <si>
    <t>solid model</t>
  </si>
  <si>
    <t>实体模型</t>
  </si>
  <si>
    <t>MISP-MINO I-IoT SERVICE PLATFORM</t>
  </si>
  <si>
    <t>工业物联网智能制造服务平台</t>
  </si>
  <si>
    <t>I/O block；robot mount</t>
  </si>
  <si>
    <t>I/O 信号模块;通讯模块</t>
  </si>
  <si>
    <t>Onboarding process</t>
  </si>
  <si>
    <t>入职流程</t>
  </si>
  <si>
    <t>orientation</t>
  </si>
  <si>
    <t>入职培训</t>
  </si>
  <si>
    <t>transfer the position information to...;output...to</t>
  </si>
  <si>
    <t>相机反馈位置信息给</t>
  </si>
  <si>
    <t>SAT</t>
  </si>
  <si>
    <t>首件</t>
  </si>
  <si>
    <t>transition piece</t>
  </si>
  <si>
    <t>过渡件：用于连接两个不同部分或组件之间的元件，以实现平稳过渡或衔接。</t>
  </si>
  <si>
    <t>read head</t>
  </si>
  <si>
    <t>读写头</t>
  </si>
  <si>
    <t>step across；step over；jump over</t>
  </si>
  <si>
    <t>跨过</t>
  </si>
  <si>
    <t>IPC: industrial personal computer</t>
  </si>
  <si>
    <t>工控机</t>
  </si>
  <si>
    <t>herringbone ladder</t>
  </si>
  <si>
    <t>人字梯</t>
  </si>
  <si>
    <t>take off point</t>
  </si>
  <si>
    <t>分接点</t>
  </si>
  <si>
    <t>screwdriver</t>
  </si>
  <si>
    <t>螺丝刀</t>
  </si>
  <si>
    <t>two-way clamping?</t>
  </si>
  <si>
    <t>对压</t>
  </si>
  <si>
    <t>timed-out</t>
  </si>
  <si>
    <t>超时</t>
  </si>
  <si>
    <t>position register</t>
  </si>
  <si>
    <t>位置寄存器</t>
  </si>
  <si>
    <t>calibration plate</t>
  </si>
  <si>
    <t>标定板</t>
  </si>
  <si>
    <t>dampening pad</t>
  </si>
  <si>
    <t>减震垫</t>
  </si>
  <si>
    <t>blanking</t>
  </si>
  <si>
    <t>下料：在加工一个零件之前，要先把这个零件的最大尺寸长宽高切出来。下完料之后再进行粗加工和精加工，最后就是零件</t>
  </si>
  <si>
    <t>downside</t>
  </si>
  <si>
    <t>缺点；不利方面</t>
  </si>
  <si>
    <t>BTC=battery top cover</t>
  </si>
  <si>
    <t>电池上盖（特斯拉）</t>
  </si>
  <si>
    <t>BEN=Battery enclosure</t>
  </si>
  <si>
    <t>电池外壳（特斯拉）</t>
  </si>
  <si>
    <t>screw rod</t>
  </si>
  <si>
    <t>螺杆；丝杆</t>
  </si>
  <si>
    <t>dust pipe</t>
  </si>
  <si>
    <t>吸尘管</t>
  </si>
  <si>
    <t>deviation</t>
  </si>
  <si>
    <t>偏离项</t>
  </si>
  <si>
    <t>CW gun</t>
  </si>
  <si>
    <t>傀儡焊枪</t>
  </si>
  <si>
    <t>CW welding</t>
  </si>
  <si>
    <t>傀儡焊；间接焊</t>
  </si>
  <si>
    <t>MTM</t>
  </si>
  <si>
    <t>节拍表</t>
  </si>
  <si>
    <t>抽芯铆钉</t>
  </si>
  <si>
    <t>buyoff</t>
  </si>
  <si>
    <t>验收</t>
  </si>
  <si>
    <t>clamp in two directions?</t>
  </si>
  <si>
    <t>对夹</t>
  </si>
  <si>
    <t>screenshot；printscreen</t>
  </si>
  <si>
    <t>截图</t>
  </si>
  <si>
    <t>nominal size</t>
  </si>
  <si>
    <t>公称尺寸：是标准中规定的名义尺寸，是用户和生产企业希望得到的理想尺寸，在这种名义尺寸之下，只有根据不同种类的配合，给定了不同的公差，这才是机械加工的实际掌握的尺寸。例如，图纸上注有一轴的尺寸为∮40（+0.2 -0.1），其中尺寸40就是公称尺寸。</t>
  </si>
  <si>
    <t>headcount</t>
  </si>
  <si>
    <t>工人数量</t>
  </si>
  <si>
    <t>EGT</t>
  </si>
  <si>
    <t>欧标八角管标准件的一个系列</t>
  </si>
  <si>
    <t>toolbox</t>
  </si>
  <si>
    <t>工具箱</t>
  </si>
  <si>
    <t>material</t>
  </si>
  <si>
    <t>物料；材料</t>
  </si>
  <si>
    <t>stand by</t>
  </si>
  <si>
    <t>陪产</t>
  </si>
  <si>
    <t>revision history</t>
  </si>
  <si>
    <t>变更履历</t>
  </si>
  <si>
    <t>controlled circulation</t>
  </si>
  <si>
    <t>受控发行</t>
  </si>
  <si>
    <t>seat delivery</t>
  </si>
  <si>
    <t>座椅输送</t>
  </si>
  <si>
    <t>OEE=overall equipment effectiveness</t>
  </si>
  <si>
    <t>设备综合效率</t>
  </si>
  <si>
    <t>gantry</t>
  </si>
  <si>
    <t>龙门架</t>
  </si>
  <si>
    <t>JPH=job per hour</t>
  </si>
  <si>
    <t>小时工作量；单位时间工作量</t>
  </si>
  <si>
    <t>fire up the computer</t>
  </si>
  <si>
    <t>启动电脑</t>
  </si>
  <si>
    <t>dry run</t>
  </si>
  <si>
    <t>空循环 /空运行（上电后dry run）：在客户正式验收前，把整条线体跑起来，但是没有生产，目的是看整条线条运转是否有问题，是否顺畅。即只跑线，线上没有物料</t>
  </si>
  <si>
    <t>production schedule</t>
  </si>
  <si>
    <t>生产计划</t>
  </si>
  <si>
    <t>full seat pallet</t>
  </si>
  <si>
    <t>装着座椅的托盘</t>
  </si>
  <si>
    <t>aggressive schedule</t>
  </si>
  <si>
    <t>紧凑的进度；紧凑的计划</t>
  </si>
  <si>
    <t>as built</t>
  </si>
  <si>
    <t>完工；实际完成的</t>
  </si>
  <si>
    <t>backlash</t>
  </si>
  <si>
    <t>反斜杆：/</t>
  </si>
  <si>
    <t>thread</t>
  </si>
  <si>
    <t>螺纹</t>
  </si>
  <si>
    <t>gas tightness；air tightness</t>
  </si>
  <si>
    <t>气密性</t>
  </si>
  <si>
    <t>ACC</t>
  </si>
  <si>
    <t>Stellantis客户上传数据的软件</t>
  </si>
  <si>
    <t>PFMAE-Process failure mode and effects analysis</t>
  </si>
  <si>
    <t>过程失效模式及后果分析</t>
  </si>
  <si>
    <t>CATpart；CATIA part</t>
  </si>
  <si>
    <t>零件文件</t>
  </si>
  <si>
    <t>trailer</t>
  </si>
  <si>
    <t>卡车</t>
  </si>
  <si>
    <t>leak test</t>
  </si>
  <si>
    <t>气密性检查</t>
  </si>
  <si>
    <t>recovery mode</t>
  </si>
  <si>
    <t>恢复模式</t>
  </si>
  <si>
    <t>prefer A over B</t>
  </si>
  <si>
    <t>相比B，更喜欢A</t>
  </si>
  <si>
    <t>bolting gun；screw driver；screwdriver</t>
  </si>
  <si>
    <t>拧紧枪；螺丝刀</t>
  </si>
  <si>
    <t>PTO-paid time off</t>
  </si>
  <si>
    <t>带薪休假</t>
  </si>
  <si>
    <t>naming convention</t>
  </si>
  <si>
    <t>命名规则</t>
  </si>
  <si>
    <t>specification</t>
  </si>
  <si>
    <t>fantastical robotics island</t>
  </si>
  <si>
    <t>（明珞自主研发的）魔幻岛</t>
  </si>
  <si>
    <t>account for...</t>
  </si>
  <si>
    <t>解释</t>
  </si>
  <si>
    <t>ball plunger</t>
  </si>
  <si>
    <t>球头柱塞</t>
  </si>
  <si>
    <t>ball slob</t>
  </si>
  <si>
    <t>手柄球</t>
  </si>
  <si>
    <t>cam follower</t>
  </si>
  <si>
    <t>凸轮随动器</t>
  </si>
  <si>
    <t>Geo Fixture</t>
  </si>
  <si>
    <t>定位焊夹具</t>
  </si>
  <si>
    <t>Respot Fixture</t>
  </si>
  <si>
    <t>补焊夹具</t>
  </si>
  <si>
    <t>Marriage Table</t>
  </si>
  <si>
    <t>预拼夹具；合拼台</t>
  </si>
  <si>
    <t>Framing Gate Fixture</t>
  </si>
  <si>
    <t>总拼GATE夹具</t>
  </si>
  <si>
    <t>Hemming Fixture</t>
  </si>
  <si>
    <t>滚边夹具</t>
  </si>
  <si>
    <t>Arc Welding Fixture</t>
  </si>
  <si>
    <t>弧焊夹具</t>
  </si>
  <si>
    <t>Laser Welding Fixture</t>
  </si>
  <si>
    <t>激光焊夹具</t>
  </si>
  <si>
    <t>Induction Curing Fixture</t>
  </si>
  <si>
    <t>凝胶夹具</t>
  </si>
  <si>
    <t>Laser Cutting Fixture</t>
  </si>
  <si>
    <t>激光切割夹具</t>
  </si>
  <si>
    <t>Loading Table</t>
  </si>
  <si>
    <t>上件台</t>
  </si>
  <si>
    <t>Unloading Table</t>
  </si>
  <si>
    <t>下件台</t>
  </si>
  <si>
    <t>Pass Table；pass through table；nest （放件的地方？）</t>
  </si>
  <si>
    <t>中转台</t>
  </si>
  <si>
    <t>Centering Table</t>
  </si>
  <si>
    <t>对中台</t>
  </si>
  <si>
    <t>Sealing Table</t>
  </si>
  <si>
    <t>涂胶台</t>
  </si>
  <si>
    <t>induction curing fixture;curing table</t>
  </si>
  <si>
    <t>凝胶固化台</t>
  </si>
  <si>
    <t>flip table</t>
  </si>
  <si>
    <t>翻转台</t>
  </si>
  <si>
    <t>Buffer Table；deposit？</t>
  </si>
  <si>
    <t>bench</t>
  </si>
  <si>
    <t>放置台</t>
  </si>
  <si>
    <t>Chisel Bench</t>
  </si>
  <si>
    <t>凿检台</t>
  </si>
  <si>
    <t>Inspection Table</t>
  </si>
  <si>
    <t>检查台</t>
  </si>
  <si>
    <t>Testing Welding Table</t>
  </si>
  <si>
    <t>试焊台</t>
  </si>
  <si>
    <t>downholder；spider（类似蜘蛛的抓手）</t>
  </si>
  <si>
    <t>压料板；滚边压料板（防止胚料移动和弹跳）</t>
  </si>
  <si>
    <t>Apc Pallet （automatic pallet conveyor；Accumulating Pallet Conveyor）</t>
  </si>
  <si>
    <t>APC托盘</t>
  </si>
  <si>
    <t>Pure Handling Gripper</t>
  </si>
  <si>
    <t>纯搬运抓手</t>
  </si>
  <si>
    <t>Process Handling Gripper</t>
  </si>
  <si>
    <t>工艺搬运抓手</t>
  </si>
  <si>
    <t>Geo Gripper</t>
  </si>
  <si>
    <t>GEO定位抓手</t>
  </si>
  <si>
    <t>Automatic Assembly Fixture</t>
  </si>
  <si>
    <t>自动装具</t>
  </si>
  <si>
    <t>Manual Assembly Fixture</t>
  </si>
  <si>
    <t>手动装具</t>
  </si>
  <si>
    <t>Non-Power Hoist Gripper</t>
  </si>
  <si>
    <t>无动力吊具抓手</t>
  </si>
  <si>
    <t>Pneumatic Hoist Gripper</t>
  </si>
  <si>
    <t>气动吊具抓手</t>
  </si>
  <si>
    <t>Inspection Fixture；measuring fixture</t>
  </si>
  <si>
    <t>检具</t>
  </si>
  <si>
    <t>Handheld Tooling</t>
  </si>
  <si>
    <t>手持工装</t>
  </si>
  <si>
    <t>Precision Rack</t>
  </si>
  <si>
    <t>精度料箱</t>
  </si>
  <si>
    <t>Ground Docking of Precision Rack</t>
  </si>
  <si>
    <t>精度料箱地面定位机构</t>
  </si>
  <si>
    <t>Normal Bin</t>
  </si>
  <si>
    <t>普通料箱</t>
  </si>
  <si>
    <t>Normal Rack</t>
  </si>
  <si>
    <t>普通料架</t>
  </si>
  <si>
    <t>Rack Tower</t>
  </si>
  <si>
    <t>料塔:用来放料箱的</t>
  </si>
  <si>
    <t>Transfer Cart</t>
  </si>
  <si>
    <t>转运小车</t>
  </si>
  <si>
    <t>Take-Out Cart；take out trolley；take our drawer；pull-out cart；extraction trolley</t>
  </si>
  <si>
    <t>抽出小车；抽检小车；下线小车（临时下线，非正常生产；工件从线体的take out工位下线拉出来）；下件小车</t>
  </si>
  <si>
    <t>Take-Out Cart Docking</t>
  </si>
  <si>
    <t>抽出小车定位机构</t>
  </si>
  <si>
    <t>Overhead APC</t>
  </si>
  <si>
    <t>空中APC</t>
  </si>
  <si>
    <t>Ground APC</t>
  </si>
  <si>
    <t>地面APC</t>
  </si>
  <si>
    <t>Roller bed；roller conveyor</t>
  </si>
  <si>
    <t>辊床（用来放滑橇进行运输的）</t>
  </si>
  <si>
    <t>Skid</t>
  </si>
  <si>
    <t>滑橇 （滑橇VS滑台：滑橇是放在滚床上被传输的，本身没有传输能力。滑台本身有传输能力）</t>
  </si>
  <si>
    <t>Non-Power Single Roller_Skid Type</t>
  </si>
  <si>
    <t>无动力单辊_滑橇式</t>
  </si>
  <si>
    <t>Power Single Rollers_Skid Type</t>
  </si>
  <si>
    <t>动力单辊_滑橇式</t>
  </si>
  <si>
    <t>Power Double Rollers_Skid Type</t>
  </si>
  <si>
    <t>动力双辊_滑橇式</t>
  </si>
  <si>
    <t>Fixed Roller Bed_Skid Type</t>
  </si>
  <si>
    <t>固定辊床_滑橇式</t>
  </si>
  <si>
    <t>Lift Roller Bed_Skid Type</t>
  </si>
  <si>
    <t>升降辊床_滑橇式</t>
  </si>
  <si>
    <t>Overhead Roller Bed_Skid Type</t>
  </si>
  <si>
    <t>空中辊床_滑橇式</t>
  </si>
  <si>
    <t>Non-standard Transistion Roller Bed-Skid Type</t>
  </si>
  <si>
    <t>非标过渡辊床-滑橇式</t>
  </si>
  <si>
    <t>GEO Station Roller Bed_Pallet Type</t>
  </si>
  <si>
    <t>GEO工位辊床_台车式</t>
  </si>
  <si>
    <t>Respot Station Roller Bed_Pallet Type</t>
  </si>
  <si>
    <t>补焊工位辊床_台车式</t>
  </si>
  <si>
    <t>Non-Power Single Roller_Pallet Type</t>
  </si>
  <si>
    <t>无动力单辊_台车式</t>
  </si>
  <si>
    <t>Power Single Roller_Pallet Type</t>
  </si>
  <si>
    <t>动力单辊_台车式</t>
  </si>
  <si>
    <t>Power Double Rollers_Pallet Type</t>
  </si>
  <si>
    <t>动力双辊_台车式</t>
  </si>
  <si>
    <t>on-standard Transistion Roller Bed-Pallet Type</t>
  </si>
  <si>
    <t>非标过渡辊床-台车式</t>
  </si>
  <si>
    <t>Overhead Roller Bed_Pallet Type</t>
  </si>
  <si>
    <t>空中辊床_台车式</t>
  </si>
  <si>
    <t>Framing Roller Bed</t>
  </si>
  <si>
    <t>总拼辊床</t>
  </si>
  <si>
    <t>Rotative Roller Bed</t>
  </si>
  <si>
    <t>旋转辊床</t>
  </si>
  <si>
    <t>Latitude Moving And Rotative Roller Bed</t>
  </si>
  <si>
    <t>横移旋转辊床</t>
  </si>
  <si>
    <t>Lifter</t>
  </si>
  <si>
    <t>升降机</t>
  </si>
  <si>
    <t>Belt Conveyor；Conveyor belt</t>
  </si>
  <si>
    <t>皮带输送机；皮带机</t>
  </si>
  <si>
    <t>Plate Chain Conveyor</t>
  </si>
  <si>
    <t>板链输送机</t>
  </si>
  <si>
    <t>Roller Conveyor</t>
  </si>
  <si>
    <t>滚筒输送机</t>
  </si>
  <si>
    <t>Latitude Moving Machine</t>
  </si>
  <si>
    <t>横移机</t>
  </si>
  <si>
    <t>Transportation Fork</t>
  </si>
  <si>
    <t>移载叉</t>
  </si>
  <si>
    <t>Side Pushing Machine</t>
  </si>
  <si>
    <t>侧顶机</t>
  </si>
  <si>
    <t>Stacker</t>
  </si>
  <si>
    <t>堆垛机；码垛机 （堆垛起重机是指采用货叉或串杆作为取物装置，在仓库、车间等处攫取、搬运和堆垛或从高层货架上取放单元货物的专用起重机。它是一种仓储设备。）</t>
  </si>
  <si>
    <t>Unstacker</t>
  </si>
  <si>
    <t>拆垛机</t>
  </si>
  <si>
    <t>滑撬</t>
  </si>
  <si>
    <t>Pallet</t>
  </si>
  <si>
    <t>台车</t>
  </si>
  <si>
    <t>Shuttle</t>
  </si>
  <si>
    <t>往复杆</t>
  </si>
  <si>
    <t>Pick Up</t>
  </si>
  <si>
    <t>PICK UP</t>
  </si>
  <si>
    <t>无人搬运车</t>
  </si>
  <si>
    <t>AGV-Automated guided vehicle</t>
  </si>
  <si>
    <t>EMS</t>
  </si>
  <si>
    <t>EMS-Electrified Monorail System</t>
  </si>
  <si>
    <t>FDS（焊枪，FDS是一种铆接工艺）;流钻螺钉/热融自攻丝：指代的是一种高速旋转、自攻丝最后拧紧的连接工艺</t>
  </si>
  <si>
    <t>FDS-flow drill screw</t>
  </si>
  <si>
    <t>Standard 6 Model Random Switching Framing System</t>
  </si>
  <si>
    <t>标准6车型随机切换总拼系统</t>
  </si>
  <si>
    <t>Gate Pisitioning System</t>
  </si>
  <si>
    <t>合拼定位系统</t>
  </si>
  <si>
    <t>Fixture Base And Positioning</t>
  </si>
  <si>
    <t>夹具底座与定位</t>
  </si>
  <si>
    <t>Transition Track</t>
  </si>
  <si>
    <t>过渡轨道</t>
  </si>
  <si>
    <t>Fixture library</t>
  </si>
  <si>
    <t>夹具库</t>
  </si>
  <si>
    <t>Large Sliding Platform - Fixed</t>
  </si>
  <si>
    <t>大滑台-固定</t>
  </si>
  <si>
    <t>Large Sliding Platform 5.5M</t>
  </si>
  <si>
    <t>大滑台5.5M</t>
  </si>
  <si>
    <t>Large Sliding Platform 7M</t>
  </si>
  <si>
    <t>大滑台7M</t>
  </si>
  <si>
    <t>Large Sliding Platform 8.5M</t>
  </si>
  <si>
    <t>大滑台8.5M</t>
  </si>
  <si>
    <t>Drive Trolley 10M</t>
  </si>
  <si>
    <t>驱动小车10M</t>
  </si>
  <si>
    <t>Drive Trolley 12.5M</t>
  </si>
  <si>
    <t>驱动小车12.5M</t>
  </si>
  <si>
    <t>NCFL-424_NC Locator-mechanical part</t>
  </si>
  <si>
    <t>NCFL-424_NC Locator-机械部分</t>
  </si>
  <si>
    <t>NCFL-434_NC Locator-mechanical part</t>
  </si>
  <si>
    <t>NCFL-434_NC Locator-机械部分</t>
  </si>
  <si>
    <t>2NC_NC Locator-Control Cabinet</t>
  </si>
  <si>
    <t>2NC_NC Locator-控制柜</t>
  </si>
  <si>
    <t>2NC_NC Locator-Software System</t>
  </si>
  <si>
    <t>2NC_NC Locator-软件系统</t>
  </si>
  <si>
    <t>4NC_NC Locator-Control Cabinet</t>
  </si>
  <si>
    <t>4NC_NC Locator-控制柜</t>
  </si>
  <si>
    <t>4NC_NC Locator-Software System</t>
  </si>
  <si>
    <t>4NC_NC Locator-软件系统</t>
  </si>
  <si>
    <t>6NC_NC Locator-Control Cabinet</t>
  </si>
  <si>
    <t>6NC_NC Locator-控制柜</t>
  </si>
  <si>
    <t>6NC_NC Locator-Software System</t>
  </si>
  <si>
    <t>6NC_NC Locator-软件系统</t>
  </si>
  <si>
    <t>8NC_NC Locator-Control Cabinet</t>
  </si>
  <si>
    <t>8NC_NC Locator-控制柜</t>
  </si>
  <si>
    <t>8NC_NC Locator-Software System</t>
  </si>
  <si>
    <t>8NC_NC Locator-软件系统</t>
  </si>
  <si>
    <t>Robot controller；container</t>
  </si>
  <si>
    <t>机器人控制柜</t>
  </si>
  <si>
    <t>Single Layer Fixture Switching System - Without Motor</t>
  </si>
  <si>
    <t>单层夹具切换系统-库位不带电机</t>
  </si>
  <si>
    <t>Double Layer Fixture Switching System</t>
  </si>
  <si>
    <t>双层夹具切换系统</t>
  </si>
  <si>
    <t>Track</t>
  </si>
  <si>
    <t>轨道</t>
  </si>
  <si>
    <t>Sliding Car</t>
  </si>
  <si>
    <t>小车（小）</t>
  </si>
  <si>
    <t>Transfer Fork</t>
  </si>
  <si>
    <t>Left Ground Storage (Small Without Drive)</t>
  </si>
  <si>
    <t>左地面库位（小无驱动）</t>
  </si>
  <si>
    <t>Right Ground Storage (Small Without Drive)</t>
  </si>
  <si>
    <t>右地面库位（小无驱动）</t>
  </si>
  <si>
    <t>Positioning Mechanism On Ground；Ground rack docking</t>
  </si>
  <si>
    <t>地面定位机构</t>
  </si>
  <si>
    <t>Fixture Base Bottom Locator (Small)</t>
  </si>
  <si>
    <t>定位夹具端（小）</t>
  </si>
  <si>
    <t>Light Load Small Trolley System</t>
  </si>
  <si>
    <t>轻载小台车系统</t>
  </si>
  <si>
    <t>MSR_Retractable Fork</t>
  </si>
  <si>
    <t>MSR_动力随库位</t>
  </si>
  <si>
    <t>Gravity slide</t>
  </si>
  <si>
    <t>重力滑台 （倾斜的，工件依靠重力滑下来）</t>
  </si>
  <si>
    <t>Electric Slide_Light Load</t>
  </si>
  <si>
    <t>电动滑台_轻载</t>
  </si>
  <si>
    <t>Electric Slide_Heavy load</t>
  </si>
  <si>
    <t>电动滑台_重载</t>
  </si>
  <si>
    <t>Pneumatic Slide</t>
  </si>
  <si>
    <t>气动滑台</t>
  </si>
  <si>
    <t>Servo Turntable_Two Face_No Fence</t>
  </si>
  <si>
    <t>伺服转台_2面_无护栏</t>
  </si>
  <si>
    <t>Servo Turntable_Two Face_Fence</t>
  </si>
  <si>
    <t>伺服转台_2面_含护栏</t>
  </si>
  <si>
    <t>Servo Turntable_Two Face_Support Track</t>
  </si>
  <si>
    <t>伺服转台_2面_含支撑轨道</t>
  </si>
  <si>
    <t>Servo Turntable_Four Face_No Fence</t>
  </si>
  <si>
    <t>伺服转台_4面_无护栏</t>
  </si>
  <si>
    <t>Servo Turntable_Four Face_Fence</t>
  </si>
  <si>
    <t>伺服转台_4面_含护栏</t>
  </si>
  <si>
    <t>Servo Turntable_Four Face_Support Track</t>
  </si>
  <si>
    <t>伺服转台_4面_含支撑轨道</t>
  </si>
  <si>
    <t>Servo Turntable_Other</t>
  </si>
  <si>
    <t>伺服转台_其他</t>
  </si>
  <si>
    <t>Penumatic Turntable</t>
  </si>
  <si>
    <t>气动转台</t>
  </si>
  <si>
    <t>Trunnion</t>
  </si>
  <si>
    <t>Servo Trunnion-Two Face</t>
  </si>
  <si>
    <t>伺服转毂_2面</t>
  </si>
  <si>
    <t>Servo Trunnion-Three Face</t>
  </si>
  <si>
    <t>伺服转毂_3面</t>
  </si>
  <si>
    <t>Servo Trunnion-Four Face</t>
  </si>
  <si>
    <t>伺服转毂_4面</t>
  </si>
  <si>
    <t>Pneumatic Trunnion</t>
  </si>
  <si>
    <t>气动转毂</t>
  </si>
  <si>
    <t>Manual Trunnion</t>
  </si>
  <si>
    <t>手动转毂</t>
  </si>
  <si>
    <t>Positioner；position changer</t>
  </si>
  <si>
    <t>变位机</t>
  </si>
  <si>
    <t>Steel Structure；Steel Frame；platform</t>
  </si>
  <si>
    <t>钢结构（用来悬挂焊机和焊枪）；钢平台</t>
  </si>
  <si>
    <t>Ground APC Steel Structure</t>
  </si>
  <si>
    <t>地面APC钢结构</t>
  </si>
  <si>
    <t>Overhead APC Steel Structure</t>
  </si>
  <si>
    <t>空中APC钢结构</t>
  </si>
  <si>
    <t>Overhead Conveyor Steel Structure</t>
  </si>
  <si>
    <t>空中机运钢结构</t>
  </si>
  <si>
    <t>Robot Steel Structure</t>
  </si>
  <si>
    <t>机器人钢结构</t>
  </si>
  <si>
    <t>Ground Hoist Steel Structure</t>
  </si>
  <si>
    <t>地面吊具钢结构</t>
  </si>
  <si>
    <t>Overhead Hoist Steel Structure</t>
  </si>
  <si>
    <t>空中吊具钢结构</t>
  </si>
  <si>
    <t>Equipment Removal Steel Structure</t>
  </si>
  <si>
    <t>设备移出钢结构</t>
  </si>
  <si>
    <t>Operator Platform</t>
  </si>
  <si>
    <t>人工踏台</t>
  </si>
  <si>
    <t>Maintenance Platform</t>
  </si>
  <si>
    <t>维修平台；维修塌台</t>
  </si>
  <si>
    <t>Other Steel Structure</t>
  </si>
  <si>
    <t>其他钢结构</t>
  </si>
  <si>
    <t>Water and Air HIP</t>
  </si>
  <si>
    <t>水气HIP</t>
  </si>
  <si>
    <t>Pure-Air HIP</t>
  </si>
  <si>
    <t>纯气HIP</t>
  </si>
  <si>
    <t>Water RIP</t>
  </si>
  <si>
    <t>Water and Air RIP</t>
  </si>
  <si>
    <t>水气单元</t>
  </si>
  <si>
    <t>Fixture Air RIP</t>
  </si>
  <si>
    <t>夹具气单元</t>
  </si>
  <si>
    <t>Gripper Air RIP</t>
  </si>
  <si>
    <t>抓手气单元</t>
  </si>
  <si>
    <t>Water and Air Pipe</t>
  </si>
  <si>
    <t>水气硬管</t>
  </si>
  <si>
    <t>Water and Air Material of Process Equipment</t>
  </si>
  <si>
    <t>工艺设备水气物料</t>
  </si>
  <si>
    <t>Robot riser；robot base；robot pedestal</t>
  </si>
  <si>
    <t>Robot Riser__0-1000mm</t>
  </si>
  <si>
    <t>机器人底座_0-1000mm</t>
  </si>
  <si>
    <t>Robot Riser_1100-2000mm</t>
  </si>
  <si>
    <t>机器人底座_1100-2000mm</t>
  </si>
  <si>
    <t>Robot Riser_2100-3000mm</t>
  </si>
  <si>
    <t>机器人底座_2100-3000mm</t>
  </si>
  <si>
    <t>Robot Riser_Non Standard</t>
  </si>
  <si>
    <t>机器人底座_非标</t>
  </si>
  <si>
    <t>Seven Axis Riser_0-500mm</t>
  </si>
  <si>
    <t>七轴增高座_0-500mm</t>
  </si>
  <si>
    <t>Seven Axis Riser_Over 500mm</t>
  </si>
  <si>
    <t>七轴增高座_高于500mm</t>
  </si>
  <si>
    <t>Stationary gun=pedestal gun=fixed gun</t>
  </si>
  <si>
    <t>Stationary Gun Stand with Swing Arm Mechanism</t>
  </si>
  <si>
    <t>固定焊枪支架(含摆臂机构）</t>
  </si>
  <si>
    <t>Stationary Gun Stand without Swing Arm Mechanism</t>
  </si>
  <si>
    <t>固定焊枪支架(无摆臂机构）</t>
  </si>
  <si>
    <t>Stationary SPR Gun Stand</t>
  </si>
  <si>
    <t>固定SPR枪支架</t>
  </si>
  <si>
    <t>Stationary Gluing Gun Stand</t>
  </si>
  <si>
    <t>固定涂胶枪支架</t>
  </si>
  <si>
    <t>Maintenance Platform of Stationary Gluing Stand (Lifting)</t>
  </si>
  <si>
    <t>固定涂胶支架维修平台(升降)</t>
  </si>
  <si>
    <t>Maintenance Platform of Stationary Gluing Stand (Fixed)</t>
  </si>
  <si>
    <t>固定涂胶支架维修平台(固定)</t>
  </si>
  <si>
    <t>Stationary Stud Welding Gun Stand</t>
  </si>
  <si>
    <t>固定螺柱焊枪支架</t>
  </si>
  <si>
    <t>Stud welding gun；tucker gun；stud welding pistol</t>
  </si>
  <si>
    <t>螺柱焊枪</t>
  </si>
  <si>
    <t>Gripper Parking Stand；Gripper storage</t>
  </si>
  <si>
    <t>抓手停放架</t>
  </si>
  <si>
    <t>Gun Parking Stand</t>
  </si>
  <si>
    <t>焊枪停放架</t>
  </si>
  <si>
    <t>Stationary Tip Dresser Stand</t>
  </si>
  <si>
    <t>固定修磨器支架</t>
  </si>
  <si>
    <t>Flange；adapter；robot connection（可指机器人法兰）</t>
  </si>
  <si>
    <t>Anti-Collision Fence；crashproof fence</t>
  </si>
  <si>
    <t>防撞围栏</t>
  </si>
  <si>
    <t>Normal Steel Fence</t>
  </si>
  <si>
    <t>普通铁丝网围栏</t>
  </si>
  <si>
    <t>Aluminum Fence</t>
  </si>
  <si>
    <t>铝型材围栏</t>
  </si>
  <si>
    <t>Lifting fence</t>
  </si>
  <si>
    <t>升降围栏</t>
  </si>
  <si>
    <t>Lifting Door</t>
  </si>
  <si>
    <t>Horizontal Sliding Door</t>
  </si>
  <si>
    <t>平移门</t>
  </si>
  <si>
    <t>Arc Welding Booth</t>
  </si>
  <si>
    <t>弧焊房</t>
  </si>
  <si>
    <t>Other Booth</t>
  </si>
  <si>
    <t>其他房体</t>
  </si>
  <si>
    <t>Electrical Stand</t>
  </si>
  <si>
    <t>电气支架</t>
  </si>
  <si>
    <t>Safety Stand</t>
  </si>
  <si>
    <t>安全支架</t>
  </si>
  <si>
    <t>TCP Stand</t>
  </si>
  <si>
    <t>TCP支架</t>
  </si>
  <si>
    <t>Balancer Suspension Stand</t>
  </si>
  <si>
    <t>平衡器吊挂支架</t>
  </si>
  <si>
    <t>Fan Stand</t>
  </si>
  <si>
    <t>风扇支架</t>
  </si>
  <si>
    <t>Lighting Stand</t>
  </si>
  <si>
    <t>照明灯支架</t>
  </si>
  <si>
    <t>Anti-Collision Column</t>
  </si>
  <si>
    <t>防撞柱</t>
  </si>
  <si>
    <t>Inspection Stand</t>
  </si>
  <si>
    <t>检测支架</t>
  </si>
  <si>
    <t>Feeder Stand</t>
  </si>
  <si>
    <t>送丝机支架</t>
  </si>
  <si>
    <t>Hoist Gripper Parking Stand</t>
  </si>
  <si>
    <t>吊具停放架</t>
  </si>
  <si>
    <t>Geo Welding Robot</t>
  </si>
  <si>
    <t>定位焊焊接机器人</t>
  </si>
  <si>
    <t>Respot Robot</t>
  </si>
  <si>
    <t>补焊焊接机器人</t>
  </si>
  <si>
    <t>Handling+Welding Robot</t>
  </si>
  <si>
    <t>搬运+焊接机器人</t>
  </si>
  <si>
    <t>Handling+Stationary Welding Robot</t>
  </si>
  <si>
    <t>搬运+固定焊接机器人</t>
  </si>
  <si>
    <t>Handling+Stationary Gluing Robot</t>
  </si>
  <si>
    <t>搬运+固定涂胶机器人</t>
  </si>
  <si>
    <t>Handling+Stationary Gluing+Welding Robot</t>
  </si>
  <si>
    <t>搬运+固定涂胶+焊接机器人</t>
  </si>
  <si>
    <t>Handling+Hemming Robot</t>
  </si>
  <si>
    <t>搬运+滚边机器人</t>
  </si>
  <si>
    <t>Handling Robot</t>
  </si>
  <si>
    <t>搬运机器人</t>
  </si>
  <si>
    <t>Gluing Robot</t>
  </si>
  <si>
    <t>Hemming Robot</t>
  </si>
  <si>
    <t>滚边机器人</t>
  </si>
  <si>
    <t>Stud Welding Robot</t>
  </si>
  <si>
    <t>螺柱焊机器人</t>
  </si>
  <si>
    <t>Arc Welding Robot</t>
  </si>
  <si>
    <t>弧焊机器人</t>
  </si>
  <si>
    <t>Laser Wellding Robot</t>
  </si>
  <si>
    <t>激光焊机器人</t>
  </si>
  <si>
    <t>Piercing Robot</t>
  </si>
  <si>
    <t>冲孔机器人</t>
  </si>
  <si>
    <t>Piercing Riveting Robot</t>
  </si>
  <si>
    <t>冲铆机器人</t>
  </si>
  <si>
    <t>Handling+Staionary Stud Welding Robot</t>
  </si>
  <si>
    <t>搬运+固定螺柱焊机器人</t>
  </si>
  <si>
    <t>Seven Axis_Light Load</t>
  </si>
  <si>
    <t>机器人七轴_轻载</t>
  </si>
  <si>
    <t>Seven Axis_Heavy Load</t>
  </si>
  <si>
    <t>机器人七轴_重载</t>
  </si>
  <si>
    <t>Dress Package_Spot Welding</t>
  </si>
  <si>
    <t>管线包_点焊</t>
  </si>
  <si>
    <t>Dress Package_Handling</t>
  </si>
  <si>
    <t>管线包_搬运</t>
  </si>
  <si>
    <t>Dress Package_Gluing</t>
  </si>
  <si>
    <t>管线包_涂胶</t>
  </si>
  <si>
    <t>Dress Package_Stud Welding</t>
  </si>
  <si>
    <t>管线包_螺柱焊</t>
  </si>
  <si>
    <t>Dress Package_Laser Welding</t>
  </si>
  <si>
    <t>管线包_激光焊</t>
  </si>
  <si>
    <t>Dress Package_Arc Welding</t>
  </si>
  <si>
    <t>管线包_弧焊</t>
  </si>
  <si>
    <t>Dress Package_FDS</t>
  </si>
  <si>
    <t>管线包_FDS</t>
  </si>
  <si>
    <t>Dress Package_SPR</t>
  </si>
  <si>
    <t>管线包_SPR</t>
  </si>
  <si>
    <t>ATC-Robot Side</t>
  </si>
  <si>
    <t>换枪盘_机器人侧</t>
  </si>
  <si>
    <t>ATC-Tool Side</t>
  </si>
  <si>
    <t>换枪盘_工具侧</t>
  </si>
  <si>
    <t>Electrogas Quick Insert</t>
  </si>
  <si>
    <t>气电快插</t>
  </si>
  <si>
    <t>Steel Spot Welding Gun</t>
  </si>
  <si>
    <t>铁点焊焊枪</t>
  </si>
  <si>
    <t>Aluminum Spot Welding Gun</t>
  </si>
  <si>
    <t>铝点焊焊枪</t>
  </si>
  <si>
    <t>Manual Welding Gun</t>
  </si>
  <si>
    <t>手动焊枪</t>
  </si>
  <si>
    <t>Steel Spot Welding Controller</t>
  </si>
  <si>
    <t>铁点焊焊机</t>
  </si>
  <si>
    <t>Aluminum Spot Welding Controller</t>
  </si>
  <si>
    <t>铝点焊焊机</t>
  </si>
  <si>
    <t>Manual Welding Controller</t>
  </si>
  <si>
    <t>手动焊机</t>
  </si>
  <si>
    <t>Fixed Tip Dresser</t>
  </si>
  <si>
    <t>固定修磨器</t>
  </si>
  <si>
    <t>Swing Tip Dresser</t>
  </si>
  <si>
    <t>Cap Changer；tip changer</t>
  </si>
  <si>
    <t>换帽机</t>
  </si>
  <si>
    <t>Tip Dress&amp;Cap Change Machine</t>
  </si>
  <si>
    <t>修磨换帽一体机</t>
  </si>
  <si>
    <t>SPR Gun_Tape Feed</t>
  </si>
  <si>
    <t>SPR枪_料带式</t>
  </si>
  <si>
    <t>SPR Gun_Magazine</t>
  </si>
  <si>
    <t>SPR枪_弹夹式</t>
  </si>
  <si>
    <t>SPR Gun_Blow Feed/Blow Feeding</t>
  </si>
  <si>
    <t>SPR枪_送钉管式</t>
  </si>
  <si>
    <t>FDS Equipment</t>
  </si>
  <si>
    <t>FDS设备</t>
  </si>
  <si>
    <t>Automatic Gluing Equipment with Single Pump and Single Gun</t>
  </si>
  <si>
    <t>自动涂胶设备单泵单枪</t>
  </si>
  <si>
    <t>Automatic Gluing Equipment with Single Pump and Double Guns</t>
  </si>
  <si>
    <t>自动涂胶设备单泵双枪</t>
  </si>
  <si>
    <t>Automatic Gluing Equipment with Double Pumps and Single Gun</t>
  </si>
  <si>
    <t>自动涂胶设备双泵单枪</t>
  </si>
  <si>
    <t>Automatic Gluing Equipment with Double Pumps and Double Guns</t>
  </si>
  <si>
    <t>自动涂胶设备双泵双枪</t>
  </si>
  <si>
    <t>Manual Gluing Equipment with Single Pump and Single Gun</t>
  </si>
  <si>
    <t>手动涂胶设备单泵单枪</t>
  </si>
  <si>
    <t>Manual Gluing Equipment with Single Pump and Double Guns</t>
  </si>
  <si>
    <t>手动涂胶设备单泵双枪</t>
  </si>
  <si>
    <t>Manual Gluing Equipment with Double Pumps and Single Gun</t>
  </si>
  <si>
    <t>手动涂胶设备双泵单枪</t>
  </si>
  <si>
    <t>Manual Gluing Equipment with Double Pumps and Double Guns</t>
  </si>
  <si>
    <t>手动涂胶设备双泵双枪</t>
  </si>
  <si>
    <t>Automatic Stud Machine with One Controller, One Feeder, and One Stud Gun</t>
  </si>
  <si>
    <t>自动螺柱焊设备一拖一拖一</t>
  </si>
  <si>
    <t>Automatic Stud Machine with One Controller, Two Feeders, and Two Stud Guns</t>
  </si>
  <si>
    <t>自动螺柱焊设备一拖二拖二</t>
  </si>
  <si>
    <t>Manual Stud Machine with One Controller, One Feeder, and One Stud Gun</t>
  </si>
  <si>
    <t>手动螺柱焊设备一拖一拖一</t>
  </si>
  <si>
    <t>Manual Stud Machine with One Controller, Two Feeders , and Two Stud Guns</t>
  </si>
  <si>
    <t>手动螺柱焊设备一拖二拖二</t>
  </si>
  <si>
    <t>Manual Stud Machine with One Controller, Three Feeders, and Three Stud Guns</t>
  </si>
  <si>
    <t>手动螺柱焊设备一拖三拖三</t>
  </si>
  <si>
    <t>Manual Projection Welding Controller_Manual Feeding</t>
  </si>
  <si>
    <t>手动凸焊机_手动送钉</t>
  </si>
  <si>
    <t>Manual Projection Welding Controller_Automatic Feeding</t>
  </si>
  <si>
    <t>手动凸焊机_自动送钉</t>
  </si>
  <si>
    <t>Automatic Projection Welding Controller_Automatic Feeding</t>
  </si>
  <si>
    <t>自动凸焊机_自动送钉</t>
  </si>
  <si>
    <t>Nut Robot</t>
  </si>
  <si>
    <t>螺母凸焊机器人</t>
  </si>
  <si>
    <t>Automatic Arc Welding Machine</t>
  </si>
  <si>
    <t>自动弧焊设备</t>
  </si>
  <si>
    <t>Manual Arc Welding Machine</t>
  </si>
  <si>
    <t>手动弧焊设备</t>
  </si>
  <si>
    <t>Laser Welding System</t>
  </si>
  <si>
    <t>激光焊接系统</t>
  </si>
  <si>
    <t>Laser Dust Removal System</t>
  </si>
  <si>
    <t>激光除尘系统</t>
  </si>
  <si>
    <t>Laser Booth；Laser Cabin</t>
  </si>
  <si>
    <t>Laser Booth Door</t>
  </si>
  <si>
    <t>激光房门</t>
  </si>
  <si>
    <t>Rolling Door</t>
  </si>
  <si>
    <t>Hemming Head；roller head</t>
  </si>
  <si>
    <t>滚边头</t>
  </si>
  <si>
    <t>Anvil；hemming fixture</t>
  </si>
  <si>
    <t>胎膜；滚边胎膜（支撑零件的模具）</t>
  </si>
  <si>
    <t>Purchased Hemming Fixture</t>
  </si>
  <si>
    <t>外购滚边胎膜</t>
  </si>
  <si>
    <t>Press Hemming Machine</t>
  </si>
  <si>
    <t>压边专机</t>
  </si>
  <si>
    <t>Auotamatic Clinch Equipment</t>
  </si>
  <si>
    <t>Clinch设备_自动</t>
  </si>
  <si>
    <t>Manual Clinch equipment</t>
  </si>
  <si>
    <t>Clinch设备_手动</t>
  </si>
  <si>
    <t>Automatic Tightening Equipment</t>
  </si>
  <si>
    <t>自动拧紧设备</t>
  </si>
  <si>
    <t>Manual Tightening Equipment_Electric；bolting gun</t>
  </si>
  <si>
    <t>手动拧紧枪_电动</t>
  </si>
  <si>
    <t>Manual Tightening Equipment_Pneumatic；bolting gun</t>
  </si>
  <si>
    <t>手动拧紧枪_气动</t>
  </si>
  <si>
    <t>Induction Curing Equipment</t>
  </si>
  <si>
    <t>凝胶设备</t>
  </si>
  <si>
    <t>Tig Brush Fixture</t>
  </si>
  <si>
    <t>酸性夹具；酸洗夹具</t>
  </si>
  <si>
    <t>Automatic Tig Brush Equipment</t>
  </si>
  <si>
    <t>自动酸洗设备</t>
  </si>
  <si>
    <t>Manual Tig Brush Equipment</t>
  </si>
  <si>
    <t>手动酸洗设备</t>
  </si>
  <si>
    <t>Laser Marking Equipment</t>
  </si>
  <si>
    <t>激光打刻设备</t>
  </si>
  <si>
    <t>Mechanical Marking Equipment</t>
  </si>
  <si>
    <t>机械打刻设备</t>
  </si>
  <si>
    <t>Automatic Dust Removal Equipment</t>
  </si>
  <si>
    <t>自动除尘设备</t>
  </si>
  <si>
    <t>Movable Dust Removal Equipment</t>
  </si>
  <si>
    <t>移动除尘设备</t>
  </si>
  <si>
    <t>Lighting</t>
  </si>
  <si>
    <t>照明灯</t>
  </si>
  <si>
    <t>Fan</t>
  </si>
  <si>
    <t>风扇</t>
  </si>
  <si>
    <t>On-Line Gluing Inspection_2D</t>
  </si>
  <si>
    <t>涂胶在线检测_2D</t>
  </si>
  <si>
    <t>On-Line Gluing Inspection_3D</t>
  </si>
  <si>
    <t>涂胶在线检测_3D</t>
  </si>
  <si>
    <t>Part Picking Guiding Vision_2D</t>
  </si>
  <si>
    <t>抓件引导视觉_2D</t>
  </si>
  <si>
    <t>Part Picking Guiding Vision_3D</t>
  </si>
  <si>
    <t>抓件引导视觉_3D</t>
  </si>
  <si>
    <t>On-Line Measuring</t>
  </si>
  <si>
    <t>在线测量</t>
  </si>
  <si>
    <t>Pneumatic Hoist+Rail</t>
  </si>
  <si>
    <t>气动葫芦+轨道</t>
  </si>
  <si>
    <t>Electric Hoist+Rail</t>
  </si>
  <si>
    <t>电动葫芦+轨道</t>
  </si>
  <si>
    <t>Manipulator</t>
  </si>
  <si>
    <t>机械助力臂/助力机械手</t>
  </si>
  <si>
    <t>Articulating Arm</t>
  </si>
  <si>
    <t>悬臂吊</t>
  </si>
  <si>
    <t>Overhead Manipulator</t>
  </si>
  <si>
    <t>反吊助力臂</t>
  </si>
  <si>
    <t>Pedestal Manipulator</t>
  </si>
  <si>
    <t>立柱悬臂吊</t>
  </si>
  <si>
    <t>Electric Hoist</t>
  </si>
  <si>
    <t>电动葫芦</t>
  </si>
  <si>
    <t>Manual Chain Hoist</t>
  </si>
  <si>
    <t>手拉葫芦</t>
  </si>
  <si>
    <t>Pneumatic Hoist；Air Hoist</t>
  </si>
  <si>
    <t>气动葫芦</t>
  </si>
  <si>
    <t>Air Balancer</t>
  </si>
  <si>
    <t>气动平衡吊</t>
  </si>
  <si>
    <t>Crane</t>
  </si>
  <si>
    <t>行车</t>
  </si>
  <si>
    <t>Light Curtain；</t>
  </si>
  <si>
    <t>遮光帘</t>
  </si>
  <si>
    <t>Flextrack</t>
  </si>
  <si>
    <t>柔性导轨（类似于滑台小车）</t>
  </si>
  <si>
    <t>Forklift</t>
  </si>
  <si>
    <t>叉车</t>
  </si>
  <si>
    <t>screw the gun</t>
  </si>
  <si>
    <t>拧紧枪</t>
  </si>
  <si>
    <t>rear cover</t>
  </si>
  <si>
    <t>后盖</t>
  </si>
  <si>
    <t>front cover</t>
  </si>
  <si>
    <t>前盖</t>
  </si>
  <si>
    <t>side body</t>
  </si>
  <si>
    <t>侧围</t>
  </si>
  <si>
    <t>welding</t>
  </si>
  <si>
    <t>焊接</t>
  </si>
  <si>
    <t>是</t>
  </si>
  <si>
    <t>填写人</t>
  </si>
  <si>
    <t>班组</t>
  </si>
  <si>
    <t>填写时间</t>
  </si>
  <si>
    <t>您是否自愿参加英语赋能营？</t>
  </si>
  <si>
    <t>您报名参加的主要原因是（可多选）：</t>
  </si>
  <si>
    <t>您报名参加的主要原因是（可多选）：的其他回复</t>
  </si>
  <si>
    <t>您所取得的英语等级是什么？</t>
  </si>
  <si>
    <t>您所取得的英语等级是什么？的其他回复</t>
  </si>
  <si>
    <t>请对您当前的英语听说能力进行自评</t>
  </si>
  <si>
    <t>请对您当前的英语读写能力进行自评</t>
  </si>
  <si>
    <t>您每天可用于学习英语的时间大约为：</t>
  </si>
  <si>
    <t>您认为最适合您的学习时间是：</t>
  </si>
  <si>
    <t>你希望英语赋能营可以组织哪些活动？（可多选）：</t>
  </si>
  <si>
    <t>您目前使用过的英语学习 APP 有（可多选）：</t>
  </si>
  <si>
    <t>您目前使用过的英语学习 APP 有（可多选）：的其他回复</t>
  </si>
  <si>
    <t>您推荐使用的英语学习APP是什么？（可多项）</t>
  </si>
  <si>
    <t>您希望通过此次赋能营提升哪些方面的英语能力（可多选）：</t>
  </si>
  <si>
    <t>您希望通过此次赋能营提升哪些方面的英语能力（可多选）：的其他回复</t>
  </si>
  <si>
    <t>对于英语赋能营，您有什么意见或者建议？</t>
  </si>
  <si>
    <t>用户类型</t>
  </si>
  <si>
    <t>肖枫(Xylina Xiao)</t>
  </si>
  <si>
    <t>HRBP组</t>
  </si>
  <si>
    <t>提升英语能力，适应工作需求</t>
  </si>
  <si>
    <t>大学英语六级（CET - 6）</t>
  </si>
  <si>
    <t>可做基本对话</t>
  </si>
  <si>
    <t>在外语工具的辅助下独立完成外语资料的阅读和撰写</t>
  </si>
  <si>
    <t>0.5 - 1小时</t>
  </si>
  <si>
    <t>晚上</t>
  </si>
  <si>
    <t>提供学习材料，使用 APP打卡，自主学习,参加培训课程,与同事进行语言交换,参与英语角活动</t>
  </si>
  <si>
    <t>百词斩</t>
  </si>
  <si>
    <t>英语流利说</t>
  </si>
  <si>
    <t>听力,口语,阅读,写作,商务英语</t>
  </si>
  <si>
    <t>无</t>
  </si>
  <si>
    <t>企业微信用户</t>
  </si>
  <si>
    <t>大学英语四级（CET - 4）</t>
  </si>
  <si>
    <t>1 - 1.5小时</t>
  </si>
  <si>
    <t>智能口语大师</t>
  </si>
  <si>
    <t>听力,口语</t>
  </si>
  <si>
    <t>暂时没有</t>
  </si>
  <si>
    <t>王强(Johnson Wang)</t>
  </si>
  <si>
    <t>提升英语能力，适应工作需求,个人发展规划，增强竞争力,对英语学习感兴趣</t>
  </si>
  <si>
    <t>无法对话</t>
  </si>
  <si>
    <t>不能保证每天学习</t>
  </si>
  <si>
    <t>早上</t>
  </si>
  <si>
    <t>提供学习材料，使用 APP打卡，自主学习,参与英语角活动</t>
  </si>
  <si>
    <t>百词斩,英语流利说,其他</t>
  </si>
  <si>
    <t>抖音直播</t>
  </si>
  <si>
    <t>暂无</t>
  </si>
  <si>
    <t>多提供语境</t>
  </si>
  <si>
    <t>徐欢(Kevin)</t>
  </si>
  <si>
    <t>方案组</t>
  </si>
  <si>
    <t>可以看懂基本的描述</t>
  </si>
  <si>
    <t>百词斩,扇贝单词,英语流利说</t>
  </si>
  <si>
    <t>多多练习</t>
  </si>
  <si>
    <t>彭立涛(Frank)</t>
  </si>
  <si>
    <t>0.5 小时以下</t>
  </si>
  <si>
    <t>周末</t>
  </si>
  <si>
    <t>参加培训课程,与同事进行语言交换</t>
  </si>
  <si>
    <t>ChatGPT</t>
  </si>
  <si>
    <t>谭涛(Nick)</t>
  </si>
  <si>
    <t>许鸿旭(Paul Xu)</t>
  </si>
  <si>
    <t>许鸿旭</t>
  </si>
  <si>
    <t>BIW-前期技术方案部-成本组</t>
  </si>
  <si>
    <t>成本高级工程师</t>
  </si>
  <si>
    <t>成本组</t>
  </si>
  <si>
    <t>提升英语能力，适应工作需求,个人发展规划，增强竞争力</t>
  </si>
  <si>
    <t>听力,口语,写作</t>
  </si>
  <si>
    <t>暂时没好想法</t>
  </si>
  <si>
    <t>陈佳榆(Nora)</t>
  </si>
  <si>
    <t>广州</t>
  </si>
  <si>
    <t>提供学习材料，使用 APP打卡，自主学习,参加培训课程,参与英语角活动</t>
  </si>
  <si>
    <t>听力,口语,阅读,商务英语</t>
  </si>
  <si>
    <t>提供学习材料，使用 APP打卡，自主学习,参加培训课程</t>
  </si>
  <si>
    <t>百词斩,英语流利说</t>
  </si>
  <si>
    <t>流利说</t>
  </si>
  <si>
    <t>无法看懂描述内容</t>
  </si>
  <si>
    <t>提供学习材料，使用 APP打卡，自主学习</t>
  </si>
  <si>
    <t>阅读</t>
  </si>
  <si>
    <t>雅思哥、网易有道词典</t>
  </si>
  <si>
    <t>雅思哥</t>
  </si>
  <si>
    <t>听力,口语,商务英语</t>
  </si>
  <si>
    <t>建议做好监督管理</t>
  </si>
  <si>
    <t>田璐璐(Jane Tian)</t>
  </si>
  <si>
    <t>十几年不曾使用英语</t>
  </si>
  <si>
    <t>都可以</t>
  </si>
  <si>
    <t>黄如枫(Livia Huang)</t>
  </si>
  <si>
    <t>参加培训课程</t>
  </si>
  <si>
    <t>口语</t>
  </si>
  <si>
    <t>一对一外交训练</t>
  </si>
  <si>
    <t>刘明宙(Zeus)</t>
  </si>
  <si>
    <t>提升英语能力，适应工作需求,其他</t>
  </si>
  <si>
    <t>对接海外客户</t>
  </si>
  <si>
    <t>有道词典</t>
  </si>
  <si>
    <t>增加工业场景内容</t>
  </si>
  <si>
    <t>听力,商务英语</t>
  </si>
  <si>
    <t>结合工作需要提供一些培训</t>
  </si>
  <si>
    <t>姜远亮(Leon Jiang)</t>
  </si>
  <si>
    <t>飞书</t>
  </si>
  <si>
    <t>定期组织活动的交流</t>
  </si>
  <si>
    <t>倪德鑫(Dexin Ni)</t>
  </si>
  <si>
    <t>倪德鑫</t>
  </si>
  <si>
    <t>能完成专业内的对话，  交流顺畅</t>
  </si>
  <si>
    <t>陈乐(Rock Chen)</t>
  </si>
  <si>
    <t>提供学习材料，使用 APP打卡，自主学习,与同事进行语言交换</t>
  </si>
  <si>
    <t>入营时评级，同时评估个人需求，制定不同学员的学习计划；
结营时评级，评估学员的水平进步程度，以此来进行奖惩，或者减免学费。</t>
  </si>
  <si>
    <t>曹明(Bruce Cao)</t>
  </si>
  <si>
    <t>李波(Boris)</t>
  </si>
  <si>
    <t>英语流利说,其他</t>
  </si>
  <si>
    <t>余建(Julian Yu)</t>
  </si>
  <si>
    <t>希望可以快速组织起来</t>
  </si>
  <si>
    <t>邵冬艳(Doreen Shao)</t>
  </si>
  <si>
    <t>至今未找到好用的APP，多少都有点缺点</t>
  </si>
  <si>
    <t>希望公司能有福利，提供一些会员、课程等，还有一些专业英语的学习</t>
  </si>
  <si>
    <t>董立忠(Lizhong Dong)</t>
  </si>
  <si>
    <t>有道翻译官</t>
  </si>
  <si>
    <t>韩雷雷(Leilei Han)</t>
  </si>
  <si>
    <t>每日英语</t>
  </si>
  <si>
    <t>希望能提供一些自动化方向的专业英语课程</t>
  </si>
  <si>
    <t>提供学习材料，使用 APP打卡，自主学习,参加培训课程,与同事进行语言交换</t>
  </si>
  <si>
    <t>希望通过参加活动提升自己，更好完成工作</t>
  </si>
  <si>
    <t>蔡玉聪(Cali)</t>
  </si>
  <si>
    <t>与同事进行语言交换</t>
  </si>
  <si>
    <t>百词斩,扇贝单词,其他</t>
  </si>
  <si>
    <t>不背单词</t>
  </si>
  <si>
    <t>B站</t>
  </si>
  <si>
    <t>口语,商务英语</t>
  </si>
  <si>
    <t>开言英语</t>
  </si>
  <si>
    <t>张雄(Xiong Zhang)</t>
  </si>
  <si>
    <t>黄文斌(Hawen)</t>
  </si>
  <si>
    <t>技术管理组</t>
  </si>
  <si>
    <t>雪梨英语</t>
  </si>
  <si>
    <t>按照基础循序渐进的学习课程</t>
  </si>
  <si>
    <t>廖志文(Zve)</t>
  </si>
  <si>
    <t>大学英语四级（CET - 6）</t>
  </si>
  <si>
    <t>百词斩,其他</t>
  </si>
  <si>
    <t>墨墨背单词</t>
  </si>
  <si>
    <t>听力,口语,阅读</t>
  </si>
  <si>
    <t>张涛(Jandel)</t>
  </si>
  <si>
    <t>王超(Watts)</t>
  </si>
  <si>
    <t>视频课程</t>
  </si>
  <si>
    <t>除了词典，不推荐其他app，更推荐视频课程，听说内容重复反复练习</t>
  </si>
  <si>
    <t>很好</t>
  </si>
  <si>
    <t>杜浩龙(Haolong Du)</t>
  </si>
  <si>
    <t>IMRAN HUSSAIN(何森艾)</t>
  </si>
  <si>
    <t>I can help to teach them</t>
  </si>
  <si>
    <t>能完成专业内有深度的对话，  沟通无障碍</t>
  </si>
  <si>
    <t>能高质量独立完成外语资料的阅读和撰写</t>
  </si>
  <si>
    <t>1.5小时以上</t>
  </si>
  <si>
    <t>下午</t>
  </si>
  <si>
    <t>参加培训课程,与同事进行语言交换,参与英语角活动</t>
  </si>
  <si>
    <t>Hello Talk</t>
  </si>
  <si>
    <t>听力,口语,其他</t>
  </si>
  <si>
    <t xml:space="preserve"> 中文口语和听力</t>
  </si>
  <si>
    <t>这是一个非常伟大的倡议</t>
  </si>
  <si>
    <t>刘丽芝(Lily)</t>
  </si>
  <si>
    <t>丁相莹(Xiangying Ding)</t>
  </si>
  <si>
    <t>新东方</t>
  </si>
  <si>
    <t>吴彪(Hank Wu)</t>
  </si>
  <si>
    <t>机器人调试组</t>
  </si>
  <si>
    <t>提升英语能力，适应工作需求,对英语学习感兴趣</t>
  </si>
  <si>
    <t>口语,写作</t>
  </si>
  <si>
    <t>最好是组织的英语培训要有持续性。不断档。</t>
  </si>
  <si>
    <t>听力</t>
  </si>
  <si>
    <t>小鹅通</t>
  </si>
  <si>
    <t>制定好学习计划和学习方法</t>
  </si>
  <si>
    <t>邹荣(Ryan Zou)</t>
  </si>
  <si>
    <t>都有</t>
  </si>
  <si>
    <t>没有</t>
  </si>
  <si>
    <t>百词斩,扇贝单词,英语流利说,其他</t>
  </si>
  <si>
    <t>奶酪单词</t>
  </si>
  <si>
    <t>奶酪单词 Talk Al练口语</t>
  </si>
  <si>
    <t>听力,口语,阅读,写作</t>
  </si>
  <si>
    <t>百词斩,扇贝单词</t>
  </si>
  <si>
    <t>规划1组</t>
  </si>
  <si>
    <t>纸质材料</t>
  </si>
  <si>
    <t>多针对机械专业英语</t>
  </si>
  <si>
    <t>郭志幸(Zing Guo)</t>
  </si>
  <si>
    <t>时间自由一点，最好有APP来进行管控和自我监督</t>
  </si>
  <si>
    <t>项目管理组</t>
  </si>
  <si>
    <t>有针对性的进行专业经验培训</t>
  </si>
  <si>
    <t>甘忠英(Gan)</t>
  </si>
  <si>
    <t>大学英语四级（CET - 4）,雅思（IELTS）</t>
  </si>
  <si>
    <t>语言是一个长期积累的事情，需要自律+他律.坚持住.</t>
  </si>
  <si>
    <t>龙德新(Dodson  Long)</t>
  </si>
  <si>
    <t>希望能接近项目实况，可以提供一些高质量的会议录屏资料</t>
  </si>
  <si>
    <t>规划2组</t>
  </si>
  <si>
    <t>个人发展规划，增强竞争力,对英语学习感兴趣</t>
  </si>
  <si>
    <t>母语级阅读及书写</t>
  </si>
  <si>
    <t>阅读技术资料 没使用过APP</t>
  </si>
  <si>
    <t>母语级对话</t>
  </si>
  <si>
    <t>提供学习材料，使用 APP打卡，自主学习,与同事进行语言交换,参与英语角活动</t>
  </si>
  <si>
    <t>橙啦</t>
  </si>
  <si>
    <t>希望提高听和说</t>
  </si>
  <si>
    <t>肖伟亮(Shyger Xiao)</t>
  </si>
  <si>
    <t>扇贝单词</t>
  </si>
  <si>
    <t>扇贝</t>
  </si>
  <si>
    <t>提升听力能力</t>
  </si>
  <si>
    <t>个人发展规划，增强竞争力</t>
  </si>
  <si>
    <t>目标明确，组织严明</t>
  </si>
  <si>
    <t>王刚(Wang Gang)</t>
  </si>
  <si>
    <t>抖音</t>
  </si>
  <si>
    <t>李双智(Dozer)</t>
  </si>
  <si>
    <t>其它语言也进行培训等</t>
  </si>
  <si>
    <t>建议APP学习，时间灵活</t>
  </si>
  <si>
    <t>机械设计2组</t>
  </si>
  <si>
    <t>能否发一下英语学习的资料等</t>
  </si>
  <si>
    <t>多邻国</t>
  </si>
  <si>
    <t>优先针对工作需要的词汇做专题场景培训然后在拓展</t>
  </si>
  <si>
    <t>能持之以恒</t>
  </si>
  <si>
    <t>梁雨亭</t>
  </si>
  <si>
    <t>希望可以提升自己</t>
  </si>
  <si>
    <t>孙石坤(Kid SUN)</t>
  </si>
  <si>
    <t>希望能多教一些白车身工作中常用的专业词汇</t>
  </si>
  <si>
    <t>提升英语能力，适应工作需求,个人发展规划，增强竞争力,其他</t>
  </si>
  <si>
    <t>去MBGL-2403马来现场感触颇深，听同事说机器人GL梁久发以前是钳工出身，现在英语口语可以跟老外客户无障碍交流，还有当时的现场经理，刘明宙口语也很好，给我来了深刻的感触。那时我就想我也应该通过一年到一年半的时间，提升下自己的口语水平，做到和客户无障碍交流。毕竟咱们公司海外项目占的份额比较大。</t>
  </si>
  <si>
    <t>百词斩，口袋英语</t>
  </si>
  <si>
    <t>支持此活动的开展，助力推动想提升英语水平的同事。</t>
  </si>
  <si>
    <t>杨汝辉(Sherlock Yang)</t>
  </si>
  <si>
    <t>机械设计1组</t>
  </si>
  <si>
    <t>不背单词、墨墨</t>
  </si>
  <si>
    <t>多一些日常口语练习及训练</t>
  </si>
  <si>
    <t>温炜鹏(Weipeng Wen)</t>
  </si>
  <si>
    <t>想试试看</t>
  </si>
  <si>
    <t>与同事进行语言交换,参与英语角活动</t>
  </si>
  <si>
    <t>可可英语</t>
  </si>
  <si>
    <t>严剑(Yan Jian)</t>
  </si>
  <si>
    <t>没有建议</t>
  </si>
  <si>
    <t>阅读,写作</t>
  </si>
  <si>
    <t>仿真2组</t>
  </si>
  <si>
    <t>希望有定期的测试，检查学习结果。</t>
  </si>
  <si>
    <t>口语,阅读</t>
  </si>
  <si>
    <t>适用专业英语</t>
  </si>
  <si>
    <t>韩丽艳(Fiona Han)</t>
  </si>
  <si>
    <t>仿真1组</t>
  </si>
  <si>
    <t>微信英语老师公众号</t>
  </si>
  <si>
    <t>是否能有老师带着进行口语对话，
对个人评估一下，能否针对个人欠缺的地方提出练习的方向和方法</t>
  </si>
  <si>
    <t>时间可以自由</t>
  </si>
  <si>
    <t>希望能让英语基础薄弱的人感受学习外语的乐趣</t>
  </si>
  <si>
    <t>产品研发组</t>
  </si>
  <si>
    <t>可以针对听写和工作上的一些专用名词进行专门培训</t>
  </si>
  <si>
    <t>俞艳红(Emmy Yu)</t>
  </si>
  <si>
    <t>郭坚钊(Jianzhao Guo)</t>
  </si>
  <si>
    <t>Electrical Control Module</t>
  </si>
  <si>
    <t>电气控制模块</t>
  </si>
  <si>
    <t>Electronic Control Unit (ECU)</t>
  </si>
  <si>
    <t>电子控制单元</t>
  </si>
  <si>
    <t>Sensor</t>
  </si>
  <si>
    <t>传感器</t>
  </si>
  <si>
    <t>Actuator</t>
  </si>
  <si>
    <t>执行器</t>
  </si>
  <si>
    <t>Wiring Harness</t>
  </si>
  <si>
    <t>线束</t>
  </si>
  <si>
    <t>Relay</t>
  </si>
  <si>
    <t>继电器</t>
  </si>
  <si>
    <t>Fuse</t>
  </si>
  <si>
    <t>熔断器</t>
  </si>
  <si>
    <t>Connector</t>
  </si>
  <si>
    <t>Ground Wire</t>
  </si>
  <si>
    <t>Signal Acquisition</t>
  </si>
  <si>
    <t>信号采集</t>
  </si>
  <si>
    <t>Power Supply Module</t>
  </si>
  <si>
    <t>电源模块</t>
  </si>
  <si>
    <t>Solenoid Valve</t>
  </si>
  <si>
    <t>Cable</t>
  </si>
  <si>
    <t>电缆</t>
  </si>
  <si>
    <t>Resistor</t>
  </si>
  <si>
    <t>电阻</t>
  </si>
  <si>
    <t>Capacitor</t>
  </si>
  <si>
    <t>电容</t>
  </si>
  <si>
    <t>Diode</t>
  </si>
  <si>
    <t>二极管</t>
  </si>
  <si>
    <t>Transistor</t>
  </si>
  <si>
    <t>三极管</t>
  </si>
  <si>
    <t>Integrated Circuit (IC)</t>
  </si>
  <si>
    <t>集成电路</t>
  </si>
  <si>
    <t>Microprocessor</t>
  </si>
  <si>
    <t>微处理器</t>
  </si>
  <si>
    <t>Logic Gate</t>
  </si>
  <si>
    <t>逻辑门</t>
  </si>
  <si>
    <t>Photoelectric Switch</t>
  </si>
  <si>
    <t>光电开关</t>
  </si>
  <si>
    <t>Proximity Switch</t>
  </si>
  <si>
    <t>接近开关</t>
  </si>
  <si>
    <t>Electromagnetic Lock</t>
  </si>
  <si>
    <t>电磁锁</t>
  </si>
  <si>
    <t>Servo Motor</t>
  </si>
  <si>
    <t>伺服电机</t>
  </si>
  <si>
    <t>Stepper Motor</t>
  </si>
  <si>
    <t>步进电机</t>
  </si>
  <si>
    <t>Programmable Logic Controller (PLC)</t>
  </si>
  <si>
    <t>可编程逻辑控制器</t>
  </si>
  <si>
    <t>Human-Machine Interface (HMI)</t>
  </si>
  <si>
    <t>人机界面</t>
  </si>
  <si>
    <t>Frequency Converter</t>
  </si>
  <si>
    <t>Touch Screen</t>
  </si>
  <si>
    <t>触摸屏</t>
  </si>
  <si>
    <t>Servo Drive</t>
  </si>
  <si>
    <t>伺服驱动器</t>
  </si>
  <si>
    <t>Encoder</t>
  </si>
  <si>
    <t>编码器</t>
  </si>
  <si>
    <t>Power Supply</t>
  </si>
  <si>
    <t>Battery</t>
  </si>
  <si>
    <t>电池</t>
  </si>
  <si>
    <t>Charger</t>
  </si>
  <si>
    <t>充电机</t>
  </si>
  <si>
    <t>Inverter</t>
  </si>
  <si>
    <t>逆变器</t>
  </si>
  <si>
    <t>Converter</t>
  </si>
  <si>
    <t>变流器</t>
  </si>
  <si>
    <t>Transformer</t>
  </si>
  <si>
    <t>Voltage Regulator</t>
  </si>
  <si>
    <t>稳压器</t>
  </si>
  <si>
    <t>Filter</t>
  </si>
  <si>
    <t>滤波器</t>
  </si>
  <si>
    <t>Isolator</t>
  </si>
  <si>
    <t>隔离器</t>
  </si>
  <si>
    <t>Contactor</t>
  </si>
  <si>
    <t>接触器</t>
  </si>
  <si>
    <t>Circuit Breaker</t>
  </si>
  <si>
    <t>Protector</t>
  </si>
  <si>
    <t>保护器</t>
  </si>
  <si>
    <t>Regulator</t>
  </si>
  <si>
    <t>调节器</t>
  </si>
  <si>
    <t>Display</t>
  </si>
  <si>
    <t>显示器</t>
  </si>
  <si>
    <t>Indicator Light/lamp</t>
  </si>
  <si>
    <t>指示灯</t>
  </si>
  <si>
    <t>Buzzer</t>
  </si>
  <si>
    <t>蜂鸣器</t>
  </si>
  <si>
    <t>Alarm</t>
  </si>
  <si>
    <t>报警器</t>
  </si>
  <si>
    <t>Test Equipment</t>
  </si>
  <si>
    <t>测试设备</t>
  </si>
  <si>
    <t>Measuring Instrument</t>
  </si>
  <si>
    <t>测量仪器</t>
  </si>
  <si>
    <t>Diagnostic Tool</t>
  </si>
  <si>
    <t>诊断工具</t>
  </si>
  <si>
    <t>Welding Equipment</t>
  </si>
  <si>
    <t>焊接设备</t>
  </si>
  <si>
    <t>Assembly Line</t>
  </si>
  <si>
    <t>装配线</t>
  </si>
  <si>
    <t>Automation System</t>
  </si>
  <si>
    <t>自动化系统</t>
  </si>
  <si>
    <t>Control System</t>
  </si>
  <si>
    <t>控制系统</t>
  </si>
  <si>
    <t>Monitoring System</t>
  </si>
  <si>
    <t>监控系统</t>
  </si>
  <si>
    <t>Data Acquisition System</t>
  </si>
  <si>
    <t>数据采集系统</t>
  </si>
  <si>
    <t>Communication Interface</t>
  </si>
  <si>
    <t>通信接口</t>
  </si>
  <si>
    <t>Network</t>
  </si>
  <si>
    <t>网络</t>
  </si>
  <si>
    <t>Bus</t>
  </si>
  <si>
    <t>总线</t>
  </si>
  <si>
    <t>Ethernet</t>
  </si>
  <si>
    <t>以太网</t>
  </si>
  <si>
    <t>Fieldbus</t>
  </si>
  <si>
    <t>现场总线</t>
  </si>
  <si>
    <t>Wireless Communication</t>
  </si>
  <si>
    <t>无线通信</t>
  </si>
  <si>
    <t>Remote Control</t>
  </si>
  <si>
    <t>远程控制</t>
  </si>
  <si>
    <t>Human-Machine Interaction</t>
  </si>
  <si>
    <t>人机交互</t>
  </si>
  <si>
    <t>Operation Panel</t>
  </si>
  <si>
    <t>操作面板</t>
  </si>
  <si>
    <t>Control Panel</t>
  </si>
  <si>
    <t>控制面板</t>
  </si>
  <si>
    <t>Distribution Board</t>
  </si>
  <si>
    <t>配电盘</t>
  </si>
  <si>
    <t>Distribution Box</t>
  </si>
  <si>
    <t>配电箱</t>
  </si>
  <si>
    <t>Power Socket</t>
  </si>
  <si>
    <t>电源插座</t>
  </si>
  <si>
    <t>Power Switch</t>
  </si>
  <si>
    <t>电源开关</t>
  </si>
  <si>
    <t>Emergency Stop Switch</t>
  </si>
  <si>
    <t>紧急停止开关</t>
  </si>
  <si>
    <t>Safety Switch</t>
  </si>
  <si>
    <t>Limit Switch</t>
  </si>
  <si>
    <t>限位开关</t>
  </si>
  <si>
    <t>Button</t>
  </si>
  <si>
    <t>按钮</t>
  </si>
  <si>
    <t>Selector Switch</t>
  </si>
  <si>
    <t>选择开关</t>
  </si>
  <si>
    <t>Changeover Switch</t>
  </si>
  <si>
    <t>转换开关</t>
  </si>
  <si>
    <t>Push Button Switch</t>
  </si>
  <si>
    <t>按钮开关</t>
  </si>
  <si>
    <t>Signal Lamp</t>
  </si>
  <si>
    <t>信号灯</t>
  </si>
  <si>
    <t>Warning Lamp</t>
  </si>
  <si>
    <t>警示灯</t>
  </si>
  <si>
    <t>照明</t>
  </si>
  <si>
    <t>Emergency Lighting</t>
  </si>
  <si>
    <t>应急照明</t>
  </si>
  <si>
    <t>Lighting Switch</t>
  </si>
  <si>
    <t>照明开关</t>
  </si>
  <si>
    <t>Lighting System</t>
  </si>
  <si>
    <t>照明系统</t>
  </si>
  <si>
    <t>Lighting Control</t>
  </si>
  <si>
    <t>照明控制</t>
  </si>
  <si>
    <t>Lighting Protection</t>
  </si>
  <si>
    <t>照明保护</t>
  </si>
  <si>
    <t>Lighting Distribution</t>
  </si>
  <si>
    <t>照明配电</t>
  </si>
  <si>
    <t>Lighting Equipment</t>
  </si>
  <si>
    <t>照明设备</t>
  </si>
  <si>
    <t>Lighting Fixture</t>
  </si>
  <si>
    <t>照明器具</t>
  </si>
  <si>
    <t>Lighting Cable</t>
  </si>
  <si>
    <t>照明电缆</t>
  </si>
  <si>
    <t>Lighting Transformer</t>
  </si>
  <si>
    <t>照明变压器</t>
  </si>
  <si>
    <t>Lighting Regulator</t>
  </si>
  <si>
    <t>照明调节器</t>
  </si>
  <si>
    <t>Lighting Controller</t>
  </si>
  <si>
    <t>照明控制器</t>
  </si>
  <si>
    <t>Lighting Protector</t>
  </si>
  <si>
    <t>照明保护器</t>
  </si>
  <si>
    <t>Lighting Distribution Board</t>
  </si>
  <si>
    <t>照明配电盘</t>
  </si>
  <si>
    <t>Lighting Distribution Box</t>
  </si>
  <si>
    <t>照明配电箱</t>
  </si>
  <si>
    <t>Lighting Distribution Switch</t>
  </si>
  <si>
    <t>照明配电开关</t>
  </si>
  <si>
    <t>Lighting Fuse</t>
  </si>
  <si>
    <t>照明保险丝</t>
  </si>
  <si>
    <t>Lighting Relay</t>
  </si>
  <si>
    <t>照明继电器</t>
  </si>
  <si>
    <t>Lighting Contactor</t>
  </si>
  <si>
    <t>照明接触器</t>
  </si>
  <si>
    <t>Lighting Circuit Breaker</t>
  </si>
  <si>
    <t>照明断路器</t>
  </si>
  <si>
    <t>Lighting Protective Switch</t>
  </si>
  <si>
    <t>照明保护开关</t>
  </si>
  <si>
    <t>Lighting Test Equipment</t>
  </si>
  <si>
    <t>照明测试设备</t>
  </si>
  <si>
    <t>Lighting Measuring Instrument</t>
  </si>
  <si>
    <t>照明测量仪器</t>
  </si>
  <si>
    <t>Lighting Diagnostic Tool</t>
  </si>
  <si>
    <t>照明诊断工具</t>
  </si>
  <si>
    <t>Lighting Control System</t>
  </si>
  <si>
    <t>照明控制系统</t>
  </si>
  <si>
    <t>Lighting Monitoring System</t>
  </si>
  <si>
    <t>照明监控系统</t>
  </si>
  <si>
    <t>Lighting Communication Interface</t>
  </si>
  <si>
    <t>照明通信接口</t>
  </si>
  <si>
    <t>Lighting Network</t>
  </si>
  <si>
    <t>照明网络</t>
  </si>
  <si>
    <t>Lighting Bus</t>
  </si>
  <si>
    <t>照明总线</t>
  </si>
  <si>
    <t>Isolation Switch</t>
  </si>
  <si>
    <t>隔离开关</t>
  </si>
  <si>
    <t>Load Switch</t>
  </si>
  <si>
    <t>负荷开关</t>
  </si>
  <si>
    <t>braking resistor</t>
  </si>
  <si>
    <t>制动电阻</t>
  </si>
  <si>
    <t xml:space="preserve">circuit breaker </t>
  </si>
  <si>
    <t>空开</t>
  </si>
  <si>
    <t>busbar </t>
  </si>
  <si>
    <t xml:space="preserve"> 母线，母排，汇流排，母线槽，汇流条</t>
  </si>
  <si>
    <t>插接箱</t>
  </si>
  <si>
    <t xml:space="preserve">gateway   </t>
  </si>
  <si>
    <t>网关</t>
  </si>
  <si>
    <t>buttons and indicator lights</t>
  </si>
  <si>
    <t>按钮指示灯</t>
  </si>
  <si>
    <t>wall-mounted plug-in units</t>
  </si>
  <si>
    <t>柜壁接插件</t>
  </si>
  <si>
    <t xml:space="preserve">terminal </t>
  </si>
  <si>
    <t>端子</t>
  </si>
  <si>
    <t xml:space="preserve">terminal block  </t>
  </si>
  <si>
    <t>端子排</t>
  </si>
  <si>
    <t>socket  </t>
  </si>
  <si>
    <t xml:space="preserve"> 插座</t>
  </si>
  <si>
    <t xml:space="preserve">truss  </t>
  </si>
  <si>
    <t>n.捆，束，构架 
vt捆绑，用构架支撑</t>
  </si>
  <si>
    <t>heavy-duty  connector</t>
  </si>
  <si>
    <t>重载连接器</t>
  </si>
  <si>
    <t>插头</t>
  </si>
  <si>
    <t xml:space="preserve">welding adaptive feedback connector </t>
  </si>
  <si>
    <t>焊接自适应反馈连接器</t>
  </si>
  <si>
    <t xml:space="preserve">barcode </t>
  </si>
  <si>
    <t>条码</t>
  </si>
  <si>
    <t>accessory </t>
  </si>
  <si>
    <t xml:space="preserve"> n.附件，配件</t>
  </si>
  <si>
    <t>volt power</t>
  </si>
  <si>
    <t>伏特电压：电学中的一种度量单位，表示电路中的电势差或电压大小。</t>
  </si>
  <si>
    <t>voltage</t>
  </si>
  <si>
    <t>n.
电压，伏特数</t>
  </si>
  <si>
    <t xml:space="preserve">Electric current </t>
  </si>
  <si>
    <t>电流  安培（ampere）</t>
  </si>
  <si>
    <t xml:space="preserve">active power   </t>
  </si>
  <si>
    <t>有功功率，单位：瓦特（watt）</t>
  </si>
  <si>
    <t>reactive power </t>
  </si>
  <si>
    <t>无功功率， 单位：乏特（war）</t>
  </si>
  <si>
    <t>power factor</t>
  </si>
  <si>
    <t xml:space="preserve">功率因素  </t>
  </si>
  <si>
    <t>apparent power</t>
  </si>
  <si>
    <t>视在功率 ，单位：伏安（VA）</t>
  </si>
  <si>
    <t>Phase </t>
  </si>
  <si>
    <t xml:space="preserve"> n.时间阶段；物理状态；相位；相位差；同步；</t>
  </si>
  <si>
    <t xml:space="preserve">Pre-buyoff  </t>
  </si>
  <si>
    <t>预采购</t>
  </si>
  <si>
    <t>Pneumatic </t>
  </si>
  <si>
    <t>adj.气动的</t>
  </si>
  <si>
    <t>pneumatics</t>
  </si>
  <si>
    <t> n.气动</t>
  </si>
  <si>
    <t xml:space="preserve">Manifold    </t>
  </si>
  <si>
    <t>adj.繁多的，多种多样的
n.歧管（汽车引擎用以进气和排气）；（内燃机）集管，总管；（数）流形，簇</t>
  </si>
  <si>
    <t xml:space="preserve"> Security PLC  </t>
  </si>
  <si>
    <t>安全PLC</t>
  </si>
  <si>
    <t xml:space="preserve">Safety module </t>
  </si>
  <si>
    <t>安全模块</t>
  </si>
  <si>
    <t>MES  ---manufacturing Execution
Systems</t>
  </si>
  <si>
    <t>制造执行系统</t>
  </si>
  <si>
    <t xml:space="preserve">ERP----Enterprise Resource Planning  
</t>
  </si>
  <si>
    <t>企业资源规划</t>
  </si>
  <si>
    <t>自动导引车</t>
  </si>
  <si>
    <t>人机界面：指人与计算机或其他电子设备之间进行交互的界面，包括硬件和软件。</t>
  </si>
  <si>
    <t>Draft</t>
  </si>
  <si>
    <t>n.草稿，草案，  adj.草拟的，草图的  vt.起草，草拟</t>
  </si>
  <si>
    <t xml:space="preserve"> primary side power supply</t>
  </si>
  <si>
    <t>一次侧供电</t>
  </si>
  <si>
    <t xml:space="preserve"> comprise/compose/consistent of/constitute</t>
  </si>
  <si>
    <t>构成，组成 </t>
  </si>
  <si>
    <t>专用于安全可编程系统的集成</t>
  </si>
  <si>
    <t>the response of disturbances</t>
  </si>
  <si>
    <t>干扰的反应</t>
  </si>
  <si>
    <t>the maintainability of the control part</t>
  </si>
  <si>
    <t>控制部件的可维护性</t>
  </si>
  <si>
    <t xml:space="preserve">Management of non-compliances or exceptions  </t>
  </si>
  <si>
    <t>不合规或者例外情况的管理</t>
  </si>
  <si>
    <t>n.轨道，路径，路线；跑道；站台；足迹，踪迹；
v.追踪，跟踪，</t>
  </si>
  <si>
    <t xml:space="preserve">Up-to-date  </t>
  </si>
  <si>
    <t>用来描述某物或某人是最新的，现代的或符合当前情况的</t>
  </si>
  <si>
    <t xml:space="preserve">Out-of-date   / 
outdated/  </t>
  </si>
  <si>
    <t>用来描述过时的，不再适用的或不符合当前标准的事物</t>
  </si>
  <si>
    <t>the level 1 supplier </t>
  </si>
  <si>
    <t xml:space="preserve"> 一级供应商</t>
  </si>
  <si>
    <t>Tariff  </t>
  </si>
  <si>
    <t>n.关税；价目表，收费表；量刑标准；   v.征收关税；定费标准；定税费</t>
  </si>
  <si>
    <t>operator manuals</t>
  </si>
  <si>
    <t>操作手册  </t>
  </si>
  <si>
    <t>maintenance instructions</t>
  </si>
  <si>
    <t>维护说明</t>
  </si>
  <si>
    <t>the assignment of the I/O </t>
  </si>
  <si>
    <t>IO分配</t>
  </si>
  <si>
    <t>varify/check/confirm/validate/assess/test/testify/inspect/review/</t>
  </si>
  <si>
    <t>验证</t>
  </si>
  <si>
    <t>access/visit/approach</t>
  </si>
  <si>
    <t>接近，进入；获取，访问（计算机信息）</t>
  </si>
  <si>
    <t>authorize/grant/approve/confer/delegate/permit/certify/licence</t>
  </si>
  <si>
    <t>授权/授权/批准/授予/代表/许可证/认证/许可证</t>
  </si>
  <si>
    <t>consistancy/coherence/conformity/alignment/continuity/homogeneity</t>
  </si>
  <si>
    <t>连贯性//连续性/同质性</t>
  </si>
  <si>
    <t>durability</t>
  </si>
  <si>
    <t xml:space="preserve">
持久性，耐用性</t>
  </si>
  <si>
    <t>traceability</t>
  </si>
  <si>
    <t xml:space="preserve"> 可追溯性；跟踪能力；可描绘</t>
  </si>
  <si>
    <t xml:space="preserve">Active terminal </t>
  </si>
  <si>
    <t>有源端子</t>
  </si>
  <si>
    <t xml:space="preserve">Asynchronous motors </t>
  </si>
  <si>
    <t>异步电机</t>
  </si>
  <si>
    <t xml:space="preserve">Synchronous motors </t>
  </si>
  <si>
    <t>同步电机</t>
  </si>
  <si>
    <t>certification of conformity</t>
  </si>
  <si>
    <t>合格证书</t>
  </si>
  <si>
    <t>performance tests</t>
  </si>
  <si>
    <t>性能测试</t>
  </si>
  <si>
    <t xml:space="preserve">horizontal light curtain </t>
  </si>
  <si>
    <t>水平光栅</t>
  </si>
  <si>
    <t>Compatible </t>
  </si>
  <si>
    <t>adj.兼容的，可共存的；协调一致的；可共用的；</t>
  </si>
  <si>
    <t xml:space="preserve">Copper </t>
  </si>
  <si>
    <t xml:space="preserve">铜 </t>
  </si>
  <si>
    <t xml:space="preserve">Cord </t>
  </si>
  <si>
    <t>电源线</t>
  </si>
  <si>
    <t xml:space="preserve">Host name </t>
  </si>
  <si>
    <t>主机名称</t>
  </si>
  <si>
    <t xml:space="preserve">Profile </t>
  </si>
  <si>
    <t>配置文件</t>
  </si>
  <si>
    <t>VC=visual commissioning</t>
  </si>
  <si>
    <t>robot</t>
  </si>
  <si>
    <t>机器人，自动操作装置</t>
  </si>
  <si>
    <t xml:space="preserve">crane span structure
</t>
  </si>
  <si>
    <t>桥架，起重机跨度结构：一种用于支撑起重机的结构，通常由横梁、立柱和基础组成。</t>
  </si>
  <si>
    <t xml:space="preserve">Terminal </t>
  </si>
  <si>
    <t xml:space="preserve"> n终点站，端子，  adj.末端的，</t>
  </si>
  <si>
    <t>Multicore cable</t>
  </si>
  <si>
    <t xml:space="preserve"> 多芯电缆</t>
  </si>
  <si>
    <t>Router</t>
  </si>
  <si>
    <t> 路由器</t>
  </si>
  <si>
    <t>Firewall</t>
  </si>
  <si>
    <t>防火墙</t>
  </si>
  <si>
    <t>Shutdown</t>
  </si>
  <si>
    <t>停机</t>
  </si>
  <si>
    <t>Activate</t>
  </si>
  <si>
    <t>vt.激活，使活动；使活化</t>
  </si>
  <si>
    <t>cybersecurity requirements</t>
  </si>
  <si>
    <t>网络安全需求</t>
  </si>
  <si>
    <t>Plug&amp;play</t>
  </si>
  <si>
    <t xml:space="preserve">即插即用 </t>
  </si>
  <si>
    <t>Reconfiguration</t>
  </si>
  <si>
    <t>重新配置</t>
  </si>
  <si>
    <t>horizontal light curtain</t>
  </si>
  <si>
    <t>filedbus</t>
  </si>
  <si>
    <t>Confidential</t>
  </si>
  <si>
    <t>adj.保密的，机密的，秘密的</t>
  </si>
  <si>
    <t>Encrypt</t>
  </si>
  <si>
    <t>vt. 把。。加密  en加以…+crypt秘密，隐秘的---加密  encryption  n.加密</t>
  </si>
  <si>
    <t>Decrypt</t>
  </si>
  <si>
    <t>vt.  给…解密；脱密   decryption  n.解密</t>
  </si>
  <si>
    <t xml:space="preserve">topology of networks </t>
  </si>
  <si>
    <t>网络拓扑</t>
  </si>
  <si>
    <t>maintenance personnel</t>
  </si>
  <si>
    <t>维修人员</t>
  </si>
  <si>
    <t>non-compliances</t>
  </si>
  <si>
    <t>不规范项</t>
  </si>
  <si>
    <t>常用会议英语口语汇总</t>
  </si>
  <si>
    <t>1.Opening sentence</t>
  </si>
  <si>
    <t>1.开头语</t>
  </si>
  <si>
    <t>Hi/good morning/good afternoon/good evening,Tesla team/Rivian team/Lucid team/XXX (customer's name)...</t>
  </si>
  <si>
    <t>早上好/下午好/晚上好，特斯拉团队/Rivian团队/Lucid团队/客户名字</t>
  </si>
  <si>
    <t>From our side eveyone is here.</t>
  </si>
  <si>
    <t>我们这边人都到齐了。</t>
  </si>
  <si>
    <t>Is there anybody else from your side who will attend the meeting?/Should we wait for somebody else from your side to join the meeting before we start?/Are we waiting for anybody else?</t>
  </si>
  <si>
    <t>您那边还有其他人参加本次会议的吗？</t>
  </si>
  <si>
    <t>OK，Let's get started/Can we start?</t>
  </si>
  <si>
    <t>接下来，会议开始/可以开始了吗？</t>
  </si>
  <si>
    <t>First,thank you for attending the meeting.</t>
  </si>
  <si>
    <t>感谢大家百忙之中参加本次会议</t>
  </si>
  <si>
    <t>We have some issues to confirm today.</t>
  </si>
  <si>
    <t>今天我们有一些议题需要确定</t>
  </si>
  <si>
    <t>First of all, Let's look at the topics of this meeting.</t>
  </si>
  <si>
    <t>首先我们浏览一下会议的主要议题</t>
  </si>
  <si>
    <t>And then we will discuss each topic specifically</t>
  </si>
  <si>
    <t>然后再具体讨论每个议题</t>
  </si>
  <si>
    <t>Let's recap the main points from the last meeting.</t>
  </si>
  <si>
    <t>让我们回顾一下上次会议的主要要点。</t>
  </si>
  <si>
    <t>2. Ask for access</t>
  </si>
  <si>
    <t>2. 请求对方给予权限</t>
  </si>
  <si>
    <t>Can you please make me a presenter?</t>
  </si>
  <si>
    <t>可以把我设置为演示者吗？</t>
  </si>
  <si>
    <t>Can you give me access to share?</t>
  </si>
  <si>
    <t>可以给我分享的权限吗？</t>
  </si>
  <si>
    <t>3.Express your opinions politely</t>
  </si>
  <si>
    <t>3.礼貌地表达自己的观点</t>
  </si>
  <si>
    <t>In my opinion/in my view/from my perspective/from my point of view, ……………</t>
  </si>
  <si>
    <t>我认为，…………</t>
  </si>
  <si>
    <t>Honestly, …………</t>
  </si>
  <si>
    <t>坦诚地说，…………</t>
  </si>
  <si>
    <t>Personally, …………</t>
  </si>
  <si>
    <t>我个人认为，…………</t>
  </si>
  <si>
    <t>4.Ask for opinions</t>
  </si>
  <si>
    <t>4.征求他人意见</t>
  </si>
  <si>
    <t>What do you think of this idea?/What do you think about this?</t>
  </si>
  <si>
    <t>你认为这个主意怎么样？</t>
  </si>
  <si>
    <t>Do you think so?/Do you agree?</t>
  </si>
  <si>
    <t>你同意吗？</t>
  </si>
  <si>
    <t>Can you tell us your idea?</t>
  </si>
  <si>
    <t>可以告诉一下我们您的想法吗？</t>
  </si>
  <si>
    <t>What do you suggest?/What's your suggestion?</t>
  </si>
  <si>
    <t>Do you have a better proposal?</t>
  </si>
  <si>
    <t>你有什么更好的方案吗？</t>
  </si>
  <si>
    <t>5.Ask for repetition</t>
  </si>
  <si>
    <t>5.请求重复</t>
  </si>
  <si>
    <t>Sorry?</t>
  </si>
  <si>
    <t>您说什么？</t>
  </si>
  <si>
    <t>Sorry, come again?/Sorry, can you repeat that?/Say that one more time, sorry?</t>
  </si>
  <si>
    <t>抱歉，再说一遍？</t>
  </si>
  <si>
    <t>I didn't catch that. Can you repeat, please?</t>
  </si>
  <si>
    <t>我没听清楚，请您重复一下可以吗？</t>
  </si>
  <si>
    <t>Sorry I missed it. Can you say it again，please?</t>
  </si>
  <si>
    <t>不好意思我没听清楚，请再说一遍好吗？</t>
  </si>
  <si>
    <t>I can't follow you. Can you say it one more time?</t>
  </si>
  <si>
    <t>我没听懂你的问题，能再讲一次吗？</t>
  </si>
  <si>
    <t>Sorry，I beg your pardon?</t>
  </si>
  <si>
    <t>请您再讲一遍？</t>
  </si>
  <si>
    <t>You are breaking up/You cut out a little bit, speak again?</t>
  </si>
  <si>
    <t>您的声音断断续续的，可以再说一遍吗？</t>
  </si>
  <si>
    <t>6.Agreeing</t>
  </si>
  <si>
    <t>6.表示同意</t>
  </si>
  <si>
    <t>I totally agree with you.</t>
  </si>
  <si>
    <t>我完全赞同你的观点。</t>
  </si>
  <si>
    <t>I agree with you on this point.</t>
  </si>
  <si>
    <t>在这一点上我赞同你的观点。</t>
  </si>
  <si>
    <t>That's exactly the way I feel./That's exactly what I think</t>
  </si>
  <si>
    <t>那正是我想说的。</t>
  </si>
  <si>
    <t>I'm with you/We are on the same page.</t>
  </si>
  <si>
    <t>我和你想的一样/我们想到一块去了。</t>
  </si>
  <si>
    <t>7.Disagreeing</t>
  </si>
  <si>
    <t>7.表示异议</t>
  </si>
  <si>
    <t>I don't agree/I can't agree.</t>
  </si>
  <si>
    <t>我不同意（后者语气比前者客气）。</t>
  </si>
  <si>
    <t>I don't think so.</t>
  </si>
  <si>
    <t>我不这么认为。</t>
  </si>
  <si>
    <t>I disagree with you on this point.</t>
  </si>
  <si>
    <t>在这一点上我不赞同你的观点。</t>
  </si>
  <si>
    <t>I doubt it.</t>
  </si>
  <si>
    <t>我表示怀疑。</t>
  </si>
  <si>
    <t>8.Getting attention politely</t>
  </si>
  <si>
    <t>8.礼貌地引起别人的注意</t>
  </si>
  <si>
    <t>May I have a word?</t>
  </si>
  <si>
    <t>我可以讲一句吗？</t>
  </si>
  <si>
    <t>Sorry to interrupt</t>
  </si>
  <si>
    <t>打断一下</t>
  </si>
  <si>
    <t>May I come in here?</t>
  </si>
  <si>
    <t>我可以插几句吗？</t>
  </si>
  <si>
    <t>9.Ask for waiting</t>
  </si>
  <si>
    <t>9.请求对方等一下</t>
  </si>
  <si>
    <t>One second/one moment, please./Give me one second, please</t>
  </si>
  <si>
    <t>请稍等一下</t>
  </si>
  <si>
    <t>Please wait for a moment/please wait for a second</t>
  </si>
  <si>
    <t>Sorry, my computer is freezing/frozen./Sorry, the computer crashed.</t>
  </si>
  <si>
    <t>抱歉，我电脑卡住了</t>
  </si>
  <si>
    <t>Sorry, my computer is running very slowly.</t>
  </si>
  <si>
    <t>抱歉，我电脑运行很慢</t>
  </si>
  <si>
    <t>10.Lost connection</t>
  </si>
  <si>
    <t>10.掉线</t>
  </si>
  <si>
    <t>I just lost my connection./I was cut off.</t>
  </si>
  <si>
    <t>我刚刚掉线了</t>
  </si>
  <si>
    <t>I dropped off accidentally.</t>
  </si>
  <si>
    <t>我不小心退出去了</t>
  </si>
  <si>
    <t>11.Ask for verification</t>
  </si>
  <si>
    <t>11.请求确认</t>
  </si>
  <si>
    <t>You mean… Right?</t>
  </si>
  <si>
    <t>你是说…是不是？</t>
  </si>
  <si>
    <t>Do you mean…?</t>
  </si>
  <si>
    <t>你的意思是...？</t>
  </si>
  <si>
    <t>12.Advising and suggesting</t>
  </si>
  <si>
    <t>12.提出建议</t>
  </si>
  <si>
    <t>We should…</t>
  </si>
  <si>
    <t>我们可以…</t>
  </si>
  <si>
    <t>It will be a good idea to…</t>
  </si>
  <si>
    <t>…会是个不错的主意。</t>
  </si>
  <si>
    <t>I suggest/recommend that…</t>
  </si>
  <si>
    <t>我建议…</t>
  </si>
  <si>
    <t>Why not…</t>
  </si>
  <si>
    <t>为什么不…呢</t>
  </si>
  <si>
    <t>We need to come up with actionable steps after the meeting.</t>
  </si>
  <si>
    <t>我们需要在会议后提出可行的步骤。</t>
  </si>
  <si>
    <t>Can you share your thoughts on this topic during the meeting?</t>
  </si>
  <si>
    <t>你能在会议期间就这个话题分享你的想法吗？</t>
  </si>
  <si>
    <t>13.Closing sentence</t>
  </si>
  <si>
    <t>13.会议结束语</t>
  </si>
  <si>
    <t>Before we close today's meeting,let me just summarize the main points</t>
  </si>
  <si>
    <t>在今天会议结束之前，请由我来总结一下本次会议主要议题</t>
  </si>
  <si>
    <t>Everybody please follow the conclusions we have reached today.</t>
  </si>
  <si>
    <t>今天会议所形成的结论请大家务必执行</t>
  </si>
  <si>
    <t>After this meeting, I will send the meeting minutes to all of you.</t>
  </si>
  <si>
    <t>稍后我会把本次会议的会议纪要发送给各位</t>
  </si>
  <si>
    <t>The meeting was productive and we achieved our objectives.</t>
  </si>
  <si>
    <t>会议富有成效，我们实现了目标</t>
  </si>
  <si>
    <t>Let's schedule a follow-up meeting in [time frame].</t>
  </si>
  <si>
    <t>让我们在 [时间范围] 内安排一次后续会议。</t>
  </si>
  <si>
    <t>We should invite relevant stakeholders to the next meeting.</t>
  </si>
  <si>
    <t>我们应该邀请相关利益相关者参加下次会议。</t>
  </si>
  <si>
    <t>英文句子</t>
  </si>
  <si>
    <t>中文释义</t>
  </si>
  <si>
    <t>英文邮件</t>
  </si>
  <si>
    <t>Dear [Recipient's Name],</t>
  </si>
  <si>
    <t>亲爱的 [收件人姓名]，</t>
  </si>
  <si>
    <t>Hope this email finds you well.</t>
  </si>
  <si>
    <t>希望你收到这封邮件时一切都好。</t>
  </si>
  <si>
    <t>Hope you're having a great week so far.</t>
  </si>
  <si>
    <t>希望你这周到目前为止过得很愉快。</t>
  </si>
  <si>
    <t>I'm reaching out to you regarding a matter of importance.</t>
  </si>
  <si>
    <t>我就一件重要的事情联系你。</t>
  </si>
  <si>
    <t>I am writing to inquire about...</t>
  </si>
  <si>
    <t>我写信是为了询问……</t>
  </si>
  <si>
    <t>Thank you for your prompt response./I look forward to your reply.</t>
  </si>
  <si>
    <t>感谢你的及时回复。/期待你的回复。</t>
  </si>
  <si>
    <t>Best regards,</t>
  </si>
  <si>
    <t>致以最诚挚的问候，</t>
  </si>
  <si>
    <t>Sincerely yours,</t>
  </si>
  <si>
    <t>你真诚的，</t>
  </si>
  <si>
    <t>Thanks for your continued support.</t>
  </si>
  <si>
    <t>感谢你的持续支持。</t>
  </si>
  <si>
    <t>商务谈判</t>
  </si>
  <si>
    <t>We are open to negotiation on the price.</t>
  </si>
  <si>
    <t>我们对价格持开放谈判态度。</t>
  </si>
  <si>
    <t>Can we meet halfway on this issue?</t>
  </si>
  <si>
    <t>在这个问题上我们能不能各让一步？</t>
  </si>
  <si>
    <t>Our bottom line is...</t>
  </si>
  <si>
    <t>我们的底线是……</t>
  </si>
  <si>
    <t>I think we can reach a mutually beneficial agreement.</t>
  </si>
  <si>
    <t>我认为我们可以达成一个互利的协议。</t>
  </si>
  <si>
    <t>Let's discuss the terms and conditions further.</t>
  </si>
  <si>
    <t>让我们进一步讨论条款和条件。</t>
  </si>
  <si>
    <t>What concessions can you offer?</t>
  </si>
  <si>
    <t>你能做出什么让步？</t>
  </si>
  <si>
    <t>We need to find a middle ground on this issue.</t>
  </si>
  <si>
    <t>我们需要在这个问题上找到一个中间立场。</t>
  </si>
  <si>
    <t>What's your stance on...?</t>
  </si>
  <si>
    <t>你对…… 的立场是什么？</t>
  </si>
  <si>
    <t>Let's see if we can come to an agreement on...</t>
  </si>
  <si>
    <t>让我们看看是否能在…… 上达成一致。</t>
  </si>
  <si>
    <t>I believe we can work something out.</t>
  </si>
  <si>
    <t>我相信我们可以找到解决办法。</t>
  </si>
  <si>
    <t>We can consider making some concessions on...</t>
  </si>
  <si>
    <t>我们可以考虑在…… 上做出一些让步。</t>
  </si>
  <si>
    <t>Can you provide some flexibility on...?</t>
  </si>
  <si>
    <t>你能在…… 上提供一些灵活性吗？</t>
  </si>
  <si>
    <t>产品介绍</t>
  </si>
  <si>
    <t>Our product is of high quality.</t>
  </si>
  <si>
    <t>我们的产品质量很高。</t>
  </si>
  <si>
    <t>This product has unique features.</t>
  </si>
  <si>
    <t>这个产品有独特的特点。</t>
  </si>
  <si>
    <t>It is designed to meet the needs of...</t>
  </si>
  <si>
    <t>它是为满足…… 的需求而设计的。</t>
  </si>
  <si>
    <t>Our products are competitively priced.</t>
  </si>
  <si>
    <t>我们的产品价格有竞争力。</t>
  </si>
  <si>
    <t>The advantages of our product are...</t>
  </si>
  <si>
    <t>我们产品的优势是……</t>
  </si>
  <si>
    <t>We offer a wide range of products.</t>
  </si>
  <si>
    <t>我们提供各种各样的产品</t>
  </si>
  <si>
    <t>Our product is innovative and cutting-edge.</t>
  </si>
  <si>
    <t>我们的产品具有创新性和前沿性。</t>
  </si>
  <si>
    <t>This product offers exceptional value for money.</t>
  </si>
  <si>
    <t>这个产品物超所值。</t>
  </si>
  <si>
    <t>Our products are tested and proven to be reliable.</t>
  </si>
  <si>
    <t>我们的产品经过测试，被证明是可靠的。</t>
  </si>
  <si>
    <t>The design of our product is sleek and modern.</t>
  </si>
  <si>
    <t>我们产品的设计时尚现代。</t>
  </si>
  <si>
    <t>We constantly strive to improve our products.</t>
  </si>
  <si>
    <t>我们不断努力改进我们的产品。</t>
  </si>
  <si>
    <t>订单与交货</t>
  </si>
  <si>
    <t>We would like to place an order for...</t>
  </si>
  <si>
    <t>我们想订购……</t>
  </si>
  <si>
    <t>Please confirm the delivery date.</t>
  </si>
  <si>
    <t>请确认交货日期。</t>
  </si>
  <si>
    <t>The order is urgent. Please expedite the delivery.</t>
  </si>
  <si>
    <t>订单很紧急。请加快交货。</t>
  </si>
  <si>
    <t>We need to track the shipment.</t>
  </si>
  <si>
    <t>我们需要跟踪货物运输。</t>
  </si>
  <si>
    <t>Any delay in delivery will cause inconvenience.</t>
  </si>
  <si>
    <t>交货延迟会造成不便。</t>
  </si>
  <si>
    <t>The goods have been received in good condition.</t>
  </si>
  <si>
    <t>货物已完好收到。</t>
  </si>
  <si>
    <t>We are satisfied with the quality of the products.</t>
  </si>
  <si>
    <t>我们对产品质量满意。</t>
  </si>
  <si>
    <t>Please provide an update on the order status.</t>
  </si>
  <si>
    <t>请提供订单状态的更新。</t>
  </si>
  <si>
    <t>We may need to adjust the order quantity. Is that possible?</t>
  </si>
  <si>
    <t>我们可能需要调整订单数量。可以吗？</t>
  </si>
  <si>
    <t>The delay in delivery is due to unforeseen circumstances. We apologize.</t>
  </si>
  <si>
    <t>交货延迟是由于不可预见的情况。我们道歉。</t>
  </si>
  <si>
    <t>We expect the goods to arrive no later than [specific date].</t>
  </si>
  <si>
    <t>我们期望货物不迟于 [具体日期] 到达。</t>
  </si>
  <si>
    <t>Can you provide a detailed shipping schedule?</t>
  </si>
  <si>
    <t>你能提供详细的运输时间表吗？</t>
  </si>
  <si>
    <t>The packaging of the goods is carefully designed to ensure safety.</t>
  </si>
  <si>
    <t>货物的包装经过精心设计以确保安全。</t>
  </si>
  <si>
    <t>付款与发票</t>
  </si>
  <si>
    <t>Payment is due within... days.</t>
  </si>
  <si>
    <t>付款应在…… 天内完成。</t>
  </si>
  <si>
    <t>We accept payment by...</t>
  </si>
  <si>
    <t>我们接受…… 付款方式。</t>
  </si>
  <si>
    <t>Please send us the invoice.</t>
  </si>
  <si>
    <t>请给我们寄发票。</t>
  </si>
  <si>
    <t>There seems to be an error in the invoice. Please check.</t>
  </si>
  <si>
    <t>发票似乎有错误。请检查。</t>
  </si>
  <si>
    <t>We will make the payment as soon as possible.</t>
  </si>
  <si>
    <t>我们会尽快付款。</t>
  </si>
  <si>
    <t>The payment has been processed. Please confirm.</t>
  </si>
  <si>
    <t>付款已处理。请确认。</t>
  </si>
  <si>
    <t>We request a payment extension due to [reason].</t>
  </si>
  <si>
    <t>由于 [原因]，我们请求延长付款期限。</t>
  </si>
  <si>
    <t>There seems to be a misunderstanding regarding the payment terms. Please clarify.</t>
  </si>
  <si>
    <t>关于付款条款似乎存在误解。请澄清。</t>
  </si>
  <si>
    <t>The invoice has been received and is under review.</t>
  </si>
  <si>
    <t>发票已收到并正在审核中。</t>
  </si>
  <si>
    <t>Can you issue a revised invoice?</t>
  </si>
  <si>
    <t>你能开具一份修订后的发票吗？</t>
  </si>
  <si>
    <t>We will withhold payment until the issue is resolved.</t>
  </si>
  <si>
    <t>在问题解决之前，我们将暂停付款。</t>
  </si>
  <si>
    <t>Please confirm the payment method once again.</t>
  </si>
  <si>
    <t>请再次确认付款方式</t>
  </si>
  <si>
    <t>客户服务</t>
  </si>
  <si>
    <t>We are committed to providing excellent customer service.</t>
  </si>
  <si>
    <t>我们致力于提供优质的客户服务。</t>
  </si>
  <si>
    <t>Your satisfaction is our top priority.</t>
  </si>
  <si>
    <t>你的满意是我们的首要任务。</t>
  </si>
  <si>
    <t>If you have any questions or concerns, please feel free to contact us.</t>
  </si>
  <si>
    <t>如果你有任何问题或疑虑，请随时与我们联系。</t>
  </si>
  <si>
    <t>We will do our best to resolve your issue.</t>
  </si>
  <si>
    <t>我们将尽最大努力解决你的问题。</t>
  </si>
  <si>
    <t>Thank you for your feedback. It helps us improve our service.</t>
  </si>
  <si>
    <t>感谢你的反馈。它有助于我们改进服务。</t>
  </si>
  <si>
    <t>We apologize for the inconvenience caused.</t>
  </si>
  <si>
    <t>对于造成的不便，我们深表歉意。</t>
  </si>
  <si>
    <t>e understand your frustration and are working hard to resolve it.</t>
  </si>
  <si>
    <t>我们理解你的沮丧，正在努力解决它。</t>
  </si>
  <si>
    <t>Your feedback is invaluable to us as we strive for continuous improvement.</t>
  </si>
  <si>
    <t>你的反馈对我们来说非常宝贵，因为我们努力持续改进。</t>
  </si>
  <si>
    <t>We will keep you updated on the progress of your request.</t>
  </si>
  <si>
    <t>我们将让你了解你的请求的进展情况。</t>
  </si>
  <si>
    <t>Thank you for your patience and understanding during this process.</t>
  </si>
  <si>
    <t>感谢你在这个过程中的耐心和理解。</t>
  </si>
  <si>
    <t>We take pride in providing excellent customer service.</t>
  </si>
  <si>
    <t>我们以提供优质的客户服务为荣。</t>
  </si>
  <si>
    <t>Our aim is to ensure your complete satisfaction.</t>
  </si>
  <si>
    <t>我们的目标是确保你完全满意。</t>
  </si>
  <si>
    <t>商务合作</t>
  </si>
  <si>
    <t>We are looking forward to a long-term cooperation with you.</t>
  </si>
  <si>
    <t>我们期待与你建立长期合作关系。</t>
  </si>
  <si>
    <t>Let's explore opportunities for collaboration.</t>
  </si>
  <si>
    <t>让我们探索合作的机会。</t>
  </si>
  <si>
    <t>Our companies have complementary strengths. We can work together to achieve greater success.</t>
  </si>
  <si>
    <t>我们公司有互补的优势。我们可以一起合作取得更大的成功。</t>
  </si>
  <si>
    <t>A successful cooperation requires mutual trust and understanding.</t>
  </si>
  <si>
    <t>成功的合作需要相互信任和理解。</t>
  </si>
  <si>
    <t>We value our partnership and will continue to support each other.</t>
  </si>
  <si>
    <t>我们珍惜我们的伙伴关系，并将继续相互支持。</t>
  </si>
  <si>
    <t>Let's collaborate closely to achieve mutual success.</t>
  </si>
  <si>
    <t>让我们密切合作以实现共同成功。</t>
  </si>
  <si>
    <t>We believe that our cooperation will bring significant benefits to both parties.</t>
  </si>
  <si>
    <t>我们相信我们的合作将为双方带来重大利益。</t>
  </si>
  <si>
    <t>A strong partnership is built on mutual respect and cooperation.</t>
  </si>
  <si>
    <t>牢固的伙伴关系建立在相互尊重和合作的基础上。</t>
  </si>
  <si>
    <t>We look forward to a fruitful cooperation with you in the future.</t>
  </si>
  <si>
    <t>我们期待在未来与你进行富有成效的合作。</t>
  </si>
  <si>
    <t>Can we explore potential areas of cooperation further?</t>
  </si>
  <si>
    <t>我们能进一步探索潜在的合作领域吗？</t>
  </si>
  <si>
    <t>Our cooperation will open up new opportunities for growth.</t>
  </si>
  <si>
    <t>我们的合作将为增长开辟新的机会。</t>
  </si>
  <si>
    <t>商务社交</t>
  </si>
  <si>
    <t>Nice to see you again at the conference.</t>
  </si>
  <si>
    <t>很高兴在会议上再次见到你。</t>
  </si>
  <si>
    <t>It was a pleasure meeting you at the networking event.</t>
  </si>
  <si>
    <t>很高兴在社交活动中认识你。</t>
  </si>
  <si>
    <t>Let's keep in touch.</t>
  </si>
  <si>
    <t>让我们保持联系。</t>
  </si>
  <si>
    <t>I look forward to seeing you again soon.</t>
  </si>
  <si>
    <t>我期待很快再次见到你。</t>
  </si>
  <si>
    <t>Have a great day!</t>
  </si>
  <si>
    <t>祝你有美好的一天！</t>
  </si>
  <si>
    <t>It was great chatting with you at the event.</t>
  </si>
  <si>
    <t>在活动中与你聊天很愉快。</t>
  </si>
  <si>
    <t>Looking forward to seeing you at future gatherings.</t>
  </si>
  <si>
    <t>期待在未来的聚会中见到你。</t>
  </si>
  <si>
    <t>Let's stay in touch and exchange ideas regularly.</t>
  </si>
  <si>
    <t>让我们保持联系并定期交流想法。</t>
  </si>
  <si>
    <t>I enjoyed our conversation and learned a lot from you.</t>
  </si>
  <si>
    <t>我很享受我们的谈话，并从你那里学到了很多。</t>
  </si>
  <si>
    <t>Have a wonderful day and hope to see you soon.</t>
  </si>
  <si>
    <t>祝你有美好的一天，希望很快见到你。</t>
  </si>
  <si>
    <t>财务与预算</t>
  </si>
  <si>
    <t xml:space="preserve">What's the budget for this project? </t>
  </si>
  <si>
    <t>这个项目的预算是多少？</t>
  </si>
  <si>
    <t>We need to control the costs.</t>
  </si>
  <si>
    <t xml:space="preserve"> 我们需要控制成本。</t>
  </si>
  <si>
    <t xml:space="preserve">Can you provide me with a financial report? </t>
  </si>
  <si>
    <t>你能给我一份财务报告吗？</t>
  </si>
  <si>
    <t xml:space="preserve">We're looking for ways to increase revenue. </t>
  </si>
  <si>
    <t>我们正在寻找增加收入的方法。</t>
  </si>
  <si>
    <t>The profit margin for this product is [Percentage].</t>
  </si>
  <si>
    <t xml:space="preserve"> 这个产品的利润率是 [百分比]。</t>
  </si>
  <si>
    <t xml:space="preserve">We need to make a budget for the next quarter. </t>
  </si>
  <si>
    <t>我们需要为下个季度做预算。</t>
  </si>
  <si>
    <t xml:space="preserve">Can you analyze the financial impact of this decision? </t>
  </si>
  <si>
    <t>你能分析这个决定的财务影响吗？</t>
  </si>
  <si>
    <t xml:space="preserve">The expenses for this month are higher than expected. </t>
  </si>
  <si>
    <t>这个月的费用比预期的要高。</t>
  </si>
  <si>
    <t>We need to review our financial strategy.</t>
  </si>
  <si>
    <t xml:space="preserve"> 我们需要回顾我们的财务策略。</t>
  </si>
  <si>
    <t>问题与解决</t>
  </si>
  <si>
    <t>We're facing some problems with [Issue].</t>
  </si>
  <si>
    <t xml:space="preserve"> 我们在 [问题] 上遇到了一些困难。</t>
  </si>
  <si>
    <t>What's the root cause of the problem?</t>
  </si>
  <si>
    <t xml:space="preserve"> 问题的根本原因是什么？</t>
  </si>
  <si>
    <t xml:space="preserve"> We need to find a solution to this problem as soon as possible. </t>
  </si>
  <si>
    <t>我们需要尽快找到解决这个问题的办法。</t>
  </si>
  <si>
    <t xml:space="preserve">Can you suggest some possible solutions? </t>
  </si>
  <si>
    <t>你能提出一些可能的解决方案吗？</t>
  </si>
  <si>
    <t>Let's analyze the pros and cons of each solution</t>
  </si>
  <si>
    <t>.我们来分析每个解决方案的优缺点。</t>
  </si>
  <si>
    <t xml:space="preserve">We decided to take the following actions to solve the problem. </t>
  </si>
  <si>
    <t>我们决定采取以下措施来解决问题。</t>
  </si>
  <si>
    <t xml:space="preserve">How can we prevent this problem from happening again in the future? </t>
  </si>
  <si>
    <t>我们如何防止这个问题在未来再次发生？</t>
  </si>
  <si>
    <t>The problem has been resolved.</t>
  </si>
  <si>
    <t xml:space="preserve"> 问题已经解决了。</t>
  </si>
  <si>
    <t>We need to monitor the situation closely to ensure the problem doesn't recur.</t>
  </si>
  <si>
    <t xml:space="preserve"> 我们需要密切关注情况，确保问题不会再次出现。</t>
  </si>
  <si>
    <t>Thank you for your help in solving this problem.</t>
  </si>
  <si>
    <t xml:space="preserve"> 感谢你帮助解决这个问题。</t>
  </si>
  <si>
    <t>其他常用表达</t>
  </si>
  <si>
    <t>Have a nice day!</t>
  </si>
  <si>
    <t>祝你今天过得愉快！</t>
  </si>
  <si>
    <t xml:space="preserve">See you later. </t>
  </si>
  <si>
    <t>回头见。</t>
  </si>
  <si>
    <t xml:space="preserve">Thank you very much. </t>
  </si>
  <si>
    <t>非常感谢。</t>
  </si>
  <si>
    <t>You're welcome.</t>
  </si>
  <si>
    <t>不客气。</t>
  </si>
  <si>
    <t xml:space="preserve">Excuse me. </t>
  </si>
  <si>
    <t>对不起，打扰一下。</t>
  </si>
  <si>
    <t xml:space="preserve">I'm sorry. </t>
  </si>
  <si>
    <t>对不起。</t>
  </si>
  <si>
    <t xml:space="preserve">That's all right. </t>
  </si>
  <si>
    <t>没关系。</t>
  </si>
  <si>
    <t>Good luck!</t>
  </si>
  <si>
    <t>祝你好运！</t>
  </si>
  <si>
    <t xml:space="preserve">Congratulations! </t>
  </si>
  <si>
    <t>祝贺你！</t>
  </si>
  <si>
    <t xml:space="preserve">Well done! </t>
  </si>
  <si>
    <t>干得好！</t>
  </si>
  <si>
    <t xml:space="preserve">I understand your point. </t>
  </si>
  <si>
    <t>我理解你的观点。</t>
  </si>
  <si>
    <t xml:space="preserve">Could you please repeat that? </t>
  </si>
  <si>
    <t>你能再说一遍吗？</t>
  </si>
  <si>
    <t xml:space="preserve">I have a question. </t>
  </si>
  <si>
    <t>我有一个问题。</t>
  </si>
  <si>
    <t>Let me clarify something.</t>
  </si>
  <si>
    <t xml:space="preserve"> 让我澄清一些事情。</t>
  </si>
  <si>
    <t>In my opinion,...</t>
  </si>
  <si>
    <t xml:space="preserve"> 在我看来，……</t>
  </si>
  <si>
    <t xml:space="preserve">I suggest we... </t>
  </si>
  <si>
    <t>我建议我们……</t>
  </si>
  <si>
    <t>It's important to...</t>
  </si>
  <si>
    <t xml:space="preserve"> 重要的是……</t>
  </si>
  <si>
    <t>We should consider...</t>
  </si>
  <si>
    <t xml:space="preserve"> 我们应该考虑……</t>
  </si>
  <si>
    <t xml:space="preserve">That's a good idea. </t>
  </si>
  <si>
    <t>那是个好主意。</t>
  </si>
  <si>
    <t xml:space="preserve">I agree with that. </t>
  </si>
  <si>
    <t>我同意。</t>
  </si>
  <si>
    <t xml:space="preserve">Can you give me an example? </t>
  </si>
  <si>
    <t>你能给我举个例子吗？</t>
  </si>
  <si>
    <t xml:space="preserve">What do you mean by that? </t>
  </si>
  <si>
    <t>你那样说是什么意思？</t>
  </si>
  <si>
    <t>I'm not sure I understand.</t>
  </si>
  <si>
    <t xml:space="preserve"> 我不确定我是否理解。</t>
  </si>
  <si>
    <t>Could you explain it in more detail?</t>
  </si>
  <si>
    <t xml:space="preserve"> 你能更详细地解释一下吗？</t>
  </si>
  <si>
    <t xml:space="preserve">Let's focus on the main point. </t>
  </si>
  <si>
    <t>让我们关注重点。</t>
  </si>
  <si>
    <t xml:space="preserve">We need to make a decision. </t>
  </si>
  <si>
    <t>我们需要做出决定。</t>
  </si>
  <si>
    <t xml:space="preserve">What are the options? </t>
  </si>
  <si>
    <t>有哪些选择？</t>
  </si>
  <si>
    <t xml:space="preserve">I think we should... </t>
  </si>
  <si>
    <t>我认为我们应该……</t>
  </si>
  <si>
    <t xml:space="preserve">Do you have any suggestions? </t>
  </si>
  <si>
    <t>你有什么建议吗？</t>
  </si>
  <si>
    <t xml:space="preserve">Let's discuss this further. </t>
  </si>
  <si>
    <t>我们进一步讨论这个。</t>
  </si>
  <si>
    <t xml:space="preserve">The deadline is approaching. </t>
  </si>
  <si>
    <t>截止日期临近了。</t>
  </si>
  <si>
    <t xml:space="preserve">We're running out of time. </t>
  </si>
  <si>
    <t>我们时间不多了。</t>
  </si>
  <si>
    <t xml:space="preserve">We need to speed up the process. </t>
  </si>
  <si>
    <t>我们需要加快进程。</t>
  </si>
  <si>
    <t xml:space="preserve">Can you work faster? </t>
  </si>
  <si>
    <t>你能工作得更快些吗？</t>
  </si>
  <si>
    <t xml:space="preserve">We have a lot of work to do. </t>
  </si>
  <si>
    <t>我们有很多工作要做。</t>
  </si>
  <si>
    <t>I'm under a lot of pressure.</t>
  </si>
  <si>
    <t xml:space="preserve"> 我压力很大。</t>
  </si>
  <si>
    <t xml:space="preserve">Let's try to finish this on time. </t>
  </si>
  <si>
    <t>让我们尽力按时完成。</t>
  </si>
  <si>
    <t xml:space="preserve">We need to prioritize our tasks. </t>
  </si>
  <si>
    <t>我们需要优先处理我们的任务。</t>
  </si>
  <si>
    <t xml:space="preserve">Can you handle the extra workload? </t>
  </si>
  <si>
    <t>你能处理额外的工作量吗？</t>
  </si>
  <si>
    <t xml:space="preserve">I'll do my best to meet the deadline. </t>
  </si>
  <si>
    <t>我会尽力在截止日期前完成。</t>
  </si>
  <si>
    <t xml:space="preserve">I'm looking for information about [Topic]. </t>
  </si>
  <si>
    <t>我在寻找关于 [主题] 的信息。</t>
  </si>
  <si>
    <t>Can you recommend a reliable source?</t>
  </si>
  <si>
    <t xml:space="preserve"> 你能推荐一个可靠的来源吗？</t>
  </si>
  <si>
    <t>I found some useful information on the internet.</t>
  </si>
  <si>
    <t xml:space="preserve"> 我在网上找到了一些有用的信息。</t>
  </si>
  <si>
    <t xml:space="preserve">We need to verify the accuracy of the information. </t>
  </si>
  <si>
    <t>我们需要核实信息的准确性。</t>
  </si>
  <si>
    <t xml:space="preserve">Can you share your findings with the team? </t>
  </si>
  <si>
    <t>你能与团队分享你的发现吗？</t>
  </si>
  <si>
    <t>I'll keep searching for more information.</t>
  </si>
  <si>
    <t xml:space="preserve"> 我会继续寻找更多信息。</t>
  </si>
  <si>
    <t xml:space="preserve">We need to stay updated on the latest developments. </t>
  </si>
  <si>
    <t>我们需要了解最新的发展动态。</t>
  </si>
  <si>
    <t>Can you subscribe to relevant newsletters or blogs?</t>
  </si>
  <si>
    <t xml:space="preserve"> 你能订阅相关的新闻通讯或博客吗？</t>
  </si>
  <si>
    <t xml:space="preserve">I'll organize the information and present it to the team. </t>
  </si>
  <si>
    <t>我会整理信息并向团队展示。</t>
  </si>
  <si>
    <t xml:space="preserve">We need to make informed decisions based on the available information. </t>
  </si>
  <si>
    <t>我们需要根据可用信息做出明智的决定。</t>
  </si>
  <si>
    <t>We need to build a good relationship with our customers.</t>
  </si>
  <si>
    <t xml:space="preserve"> 我们需要与客户建立良好的关系。</t>
  </si>
  <si>
    <t xml:space="preserve">Can you provide excellent customer service? </t>
  </si>
  <si>
    <t>你能提供优质的客户服务吗？</t>
  </si>
  <si>
    <t>We should listen to our customers' feedback.</t>
  </si>
  <si>
    <t xml:space="preserve"> 我们应该倾听客户的反馈。</t>
  </si>
  <si>
    <t>How can we improve our customers' satisfaction?</t>
  </si>
  <si>
    <t xml:space="preserve"> 我们如何提高客户满意度？</t>
  </si>
  <si>
    <t xml:space="preserve">We need to resolve customers' complaints promptly. </t>
  </si>
  <si>
    <t>我们需要及时解决客户的投诉。</t>
  </si>
  <si>
    <t>Can you follow up with the customers to ensure their satisfaction?</t>
  </si>
  <si>
    <t xml:space="preserve"> 你能跟进客户以确保他们满意吗？</t>
  </si>
  <si>
    <t xml:space="preserve">We should strive to exceed our customers' expectations. </t>
  </si>
  <si>
    <t>我们应该努力超越客户的期望。</t>
  </si>
  <si>
    <t xml:space="preserve">How can we retain our customers? </t>
  </si>
  <si>
    <t>我们如何留住客户？</t>
  </si>
  <si>
    <t xml:space="preserve">We need to promote our brand to attract more customers. </t>
  </si>
  <si>
    <t>我们需要推广我们的品牌以吸引更多客户。</t>
  </si>
  <si>
    <t xml:space="preserve">Can you suggest some marketing strategies? </t>
  </si>
  <si>
    <t>你能建议一些营销策略吗？</t>
  </si>
  <si>
    <t xml:space="preserve">We need to comply with all relevant laws and regulations. </t>
  </si>
  <si>
    <t>我们需要遵守所有相关的法律法规。</t>
  </si>
  <si>
    <t>Can you ensure that we are in compliance?</t>
  </si>
  <si>
    <t xml:space="preserve"> 你能确保我们合规吗？</t>
  </si>
  <si>
    <t xml:space="preserve">We should be aware of any changes in the regulations. </t>
  </si>
  <si>
    <t>我们应该了解法规的任何变化。</t>
  </si>
  <si>
    <t xml:space="preserve">How can we stay updated on the legal requirements? </t>
  </si>
  <si>
    <t>我们如何了解法律要求的最新信息？</t>
  </si>
  <si>
    <t xml:space="preserve">We need to take appropriate measures to avoid legal risks. </t>
  </si>
  <si>
    <t>我们需要采取适当措施避免法律风险。</t>
  </si>
  <si>
    <t xml:space="preserve">Can you consult with a legal expert if necessary? </t>
  </si>
  <si>
    <t>如果必要，你能咨询法律专家吗？</t>
  </si>
  <si>
    <t xml:space="preserve">We should maintain proper documentation for compliance purposes. </t>
  </si>
  <si>
    <t>为了合规目的，我们应该保存适当的文件。</t>
  </si>
  <si>
    <t xml:space="preserve">How can we train our employees on legal compliance? </t>
  </si>
  <si>
    <t>我们如何培训员工遵守法律？</t>
  </si>
  <si>
    <t xml:space="preserve">We need to monitor our activities to ensure compliance. </t>
  </si>
  <si>
    <t>我们需要监控我们的活动以确保合规。</t>
  </si>
  <si>
    <t xml:space="preserve">Can you report any potential compliance issues to the management? </t>
  </si>
  <si>
    <t>你能向管理层报告任何潜在的合规问题吗？</t>
  </si>
  <si>
    <t xml:space="preserve">We need to set clear goals for the team. </t>
  </si>
  <si>
    <t>我们需要为团队设定明确的目标。</t>
  </si>
  <si>
    <t xml:space="preserve">Can you break down the goals into specific tasks? </t>
  </si>
  <si>
    <t>你能将目标分解为具体任务吗？</t>
  </si>
  <si>
    <t xml:space="preserve">We should measure our progress towards the goals. </t>
  </si>
  <si>
    <t>我们应该衡量我们朝着目标的进展。</t>
  </si>
  <si>
    <t>How can we motivate the team to achieve the goals?</t>
  </si>
  <si>
    <t xml:space="preserve"> 我们如何激励团队实现目标？</t>
  </si>
  <si>
    <t xml:space="preserve">We need to adjust our strategies if necessary. </t>
  </si>
  <si>
    <t>如果必要，我们需要调整我们的策略。</t>
  </si>
  <si>
    <t xml:space="preserve">Can you provide regular updates on the progress? </t>
  </si>
  <si>
    <t>你能定期提供进展更新吗？</t>
  </si>
  <si>
    <t xml:space="preserve">We should celebrate our achievements along the way. </t>
  </si>
  <si>
    <t>我们应该在过程中庆祝我们的成就。</t>
  </si>
  <si>
    <t xml:space="preserve">How can we ensure that everyone is working towards the same goals? </t>
  </si>
  <si>
    <t>我们如何确保每个人都朝着相同的目标努力？</t>
  </si>
  <si>
    <t>We need to review and revise the goals as needed.</t>
  </si>
  <si>
    <t xml:space="preserve"> 我们需要根据需要审查和修订目标。</t>
  </si>
  <si>
    <t xml:space="preserve">Can you communicate the goals clearly to the team members? </t>
  </si>
  <si>
    <t>你能向团队成员清楚地传达目标吗？</t>
  </si>
  <si>
    <t>I'm interested in learning more about [Topic].</t>
  </si>
  <si>
    <t xml:space="preserve"> 我有兴趣了解更多关于 [主题] 的信息。</t>
  </si>
  <si>
    <t xml:space="preserve">Can you recommend some resources for learning? </t>
  </si>
  <si>
    <t>你能推荐一些学习资源吗？</t>
  </si>
  <si>
    <t>I'm attending a training course to improve my skills.</t>
  </si>
  <si>
    <t xml:space="preserve"> 我正在参加一个培训课程来提高我的技能。</t>
  </si>
  <si>
    <t>How can we encourage continuous learning in the workplace?</t>
  </si>
  <si>
    <t xml:space="preserve"> 我们如何鼓励在工作场所持续学习？</t>
  </si>
  <si>
    <t xml:space="preserve">We should provide opportunities for professional development. </t>
  </si>
  <si>
    <t>我们应该提供专业发展的机会。</t>
  </si>
  <si>
    <t>Can you share your learning experiences with the team?</t>
  </si>
  <si>
    <t xml:space="preserve"> 你能与团队分享你的学习经验吗？</t>
  </si>
  <si>
    <t xml:space="preserve">We need to stay updated on the latest industry trends. </t>
  </si>
  <si>
    <t>我们需要了解最新的行业趋势。</t>
  </si>
  <si>
    <t>We should apply what we've learned to our work.</t>
  </si>
  <si>
    <t>我们应该将所学应用到工作中。</t>
  </si>
  <si>
    <t xml:space="preserve">We should embrace new technologies and ideas. </t>
  </si>
  <si>
    <t>我们应该接受新技术和新想法。</t>
  </si>
  <si>
    <r>
      <rPr>
        <sz val="11"/>
        <color rgb="FF000000"/>
        <rFont val="宋体"/>
        <family val="3"/>
        <charset val="134"/>
      </rPr>
      <t>表示没听清，要求对方重复：</t>
    </r>
    <r>
      <rPr>
        <sz val="11"/>
        <color rgb="FFFF0000"/>
        <rFont val="宋体"/>
        <family val="3"/>
        <charset val="134"/>
      </rPr>
      <t>Sorry, come again?</t>
    </r>
    <r>
      <rPr>
        <sz val="11"/>
        <color rgb="FF000000"/>
        <rFont val="宋体"/>
        <family val="3"/>
        <charset val="134"/>
      </rPr>
      <t>/I didn't follow you, could you repeat?/You are breaking up,speak again?/Your voice is very far away/I'm losing your voice/I'm losing you/</t>
    </r>
    <r>
      <rPr>
        <sz val="11"/>
        <color rgb="FFFF0000"/>
        <rFont val="宋体"/>
        <family val="3"/>
        <charset val="134"/>
      </rPr>
      <t>You are breaking up back and forth</t>
    </r>
    <r>
      <rPr>
        <sz val="11"/>
        <color rgb="FF000000"/>
        <rFont val="宋体"/>
        <family val="3"/>
        <charset val="134"/>
      </rPr>
      <t>/Say that one more time, sorry? /</t>
    </r>
    <r>
      <rPr>
        <sz val="11"/>
        <color rgb="FFFF0000"/>
        <rFont val="宋体"/>
        <family val="3"/>
        <charset val="134"/>
      </rPr>
      <t>You cut out a little bit</t>
    </r>
  </si>
  <si>
    <r>
      <rPr>
        <sz val="11"/>
        <color rgb="FF000000"/>
        <rFont val="宋体"/>
        <family val="3"/>
        <charset val="134"/>
      </rPr>
      <t xml:space="preserve">For all robots, use only </t>
    </r>
    <r>
      <rPr>
        <sz val="11"/>
        <color rgb="FFFF0000"/>
        <rFont val="宋体"/>
        <family val="3"/>
        <charset val="134"/>
      </rPr>
      <t xml:space="preserve">300mm/s </t>
    </r>
    <r>
      <rPr>
        <sz val="11"/>
        <color rgb="FF000000"/>
        <rFont val="宋体"/>
        <family val="3"/>
        <charset val="134"/>
      </rPr>
      <t>for gluing. With 600mm/s, the quality will not be fine. We have to reduce the speed to get a good quality. 所有机器人涂胶速度都是300mm/s. 需要降低速度来保证涂胶质量。</t>
    </r>
  </si>
  <si>
    <r>
      <rPr>
        <sz val="11"/>
        <color rgb="FF000000"/>
        <rFont val="宋体"/>
        <family val="3"/>
        <charset val="134"/>
      </rPr>
      <t xml:space="preserve">I have to </t>
    </r>
    <r>
      <rPr>
        <sz val="11"/>
        <color rgb="FFFF0000"/>
        <rFont val="宋体"/>
        <family val="3"/>
        <charset val="134"/>
      </rPr>
      <t>drop off</t>
    </r>
    <r>
      <rPr>
        <sz val="11"/>
        <color rgb="FF000000"/>
        <rFont val="宋体"/>
        <family val="3"/>
        <charset val="134"/>
      </rPr>
      <t>. 我得走了；我得下线了</t>
    </r>
  </si>
  <si>
    <r>
      <rPr>
        <sz val="11"/>
        <color rgb="FF000000"/>
        <rFont val="宋体"/>
        <family val="3"/>
        <charset val="134"/>
      </rPr>
      <t xml:space="preserve">We have one more topic to </t>
    </r>
    <r>
      <rPr>
        <sz val="11"/>
        <color rgb="FFFF0000"/>
        <rFont val="宋体"/>
        <family val="3"/>
        <charset val="134"/>
      </rPr>
      <t>touch on</t>
    </r>
    <r>
      <rPr>
        <sz val="11"/>
        <color rgb="FF000000"/>
        <rFont val="宋体"/>
        <family val="3"/>
        <charset val="134"/>
      </rPr>
      <t>...还有个话题想讨论一下；还有个问题要提一下</t>
    </r>
  </si>
  <si>
    <r>
      <rPr>
        <sz val="11"/>
        <color rgb="FF000000"/>
        <rFont val="宋体"/>
        <family val="3"/>
        <charset val="134"/>
      </rPr>
      <t>表示“我刚刚掉线了”：I got cut off/I was cut off/</t>
    </r>
    <r>
      <rPr>
        <sz val="11"/>
        <color rgb="FFFF0000"/>
        <rFont val="宋体"/>
        <family val="3"/>
        <charset val="134"/>
      </rPr>
      <t>I lost my connection</t>
    </r>
  </si>
  <si>
    <r>
      <rPr>
        <sz val="11"/>
        <color rgb="FF000000"/>
        <rFont val="宋体"/>
        <family val="3"/>
        <charset val="134"/>
      </rPr>
      <t xml:space="preserve">表示电脑或数据卡住了: It's frozen；It's down; </t>
    </r>
    <r>
      <rPr>
        <sz val="11"/>
        <color rgb="FFFF0000"/>
        <rFont val="宋体"/>
        <family val="3"/>
        <charset val="134"/>
      </rPr>
      <t>The computer crashed.</t>
    </r>
  </si>
  <si>
    <r>
      <rPr>
        <u/>
        <sz val="11"/>
        <color rgb="FF800080"/>
        <rFont val="宋体"/>
        <family val="3"/>
        <charset val="134"/>
      </rPr>
      <t>CATIA中产品、部件、零件的区别与用途：</t>
    </r>
  </si>
  <si>
    <r>
      <rPr>
        <b/>
        <sz val="10"/>
        <color rgb="FF000000"/>
        <rFont val="微软雅黑"/>
        <family val="2"/>
        <charset val="134"/>
      </rPr>
      <t>备注：</t>
    </r>
    <r>
      <rPr>
        <b/>
        <sz val="10"/>
        <color rgb="FF000000"/>
        <rFont val="微软雅黑"/>
        <family val="2"/>
        <charset val="134"/>
      </rPr>
      <t xml:space="preserve">
1、5代表完成当日打卡，记5积分/次；</t>
    </r>
    <r>
      <rPr>
        <b/>
        <sz val="10"/>
        <color rgb="FF000000"/>
        <rFont val="微软雅黑"/>
        <family val="2"/>
        <charset val="134"/>
      </rPr>
      <t xml:space="preserve">
2、X代表未完成当日打卡，乐捐5元/次；</t>
    </r>
    <r>
      <rPr>
        <b/>
        <sz val="10"/>
        <color rgb="FF000000"/>
        <rFont val="微软雅黑"/>
        <family val="2"/>
        <charset val="134"/>
      </rPr>
      <t xml:space="preserve">
3、⭕代表当日请假。</t>
    </r>
  </si>
  <si>
    <r>
      <rPr>
        <sz val="18"/>
        <color rgb="FFFF0000"/>
        <rFont val="宋体"/>
        <family val="3"/>
        <charset val="134"/>
      </rPr>
      <t>dome</t>
    </r>
    <r>
      <rPr>
        <sz val="18"/>
        <color rgb="FF000000"/>
        <rFont val="宋体"/>
        <family val="3"/>
        <charset val="134"/>
      </rPr>
      <t>；truss</t>
    </r>
  </si>
  <si>
    <r>
      <rPr>
        <sz val="14"/>
        <color rgb="FF000000"/>
        <rFont val="宋体"/>
        <family val="3"/>
        <charset val="134"/>
      </rPr>
      <t>机器人安全盒子颜色：机器人安全盒子不同色号需求见图示，</t>
    </r>
    <r>
      <rPr>
        <sz val="14"/>
        <color rgb="FFFF0000"/>
        <rFont val="宋体"/>
        <family val="3"/>
        <charset val="134"/>
      </rPr>
      <t>工具球</t>
    </r>
    <r>
      <rPr>
        <sz val="14"/>
        <color rgb="FF000000"/>
        <rFont val="宋体"/>
        <family val="3"/>
        <charset val="134"/>
      </rPr>
      <t>用绿色表示，红色代表</t>
    </r>
    <r>
      <rPr>
        <sz val="14"/>
        <color rgb="FFFF0000"/>
        <rFont val="宋体"/>
        <family val="3"/>
        <charset val="134"/>
      </rPr>
      <t>工作区</t>
    </r>
    <r>
      <rPr>
        <sz val="14"/>
        <color rgb="FF000000"/>
        <rFont val="宋体"/>
        <family val="3"/>
        <charset val="134"/>
      </rPr>
      <t>，黄色代表</t>
    </r>
    <r>
      <rPr>
        <sz val="14"/>
        <color rgb="FFFF0000"/>
        <rFont val="宋体"/>
        <family val="3"/>
        <charset val="134"/>
      </rPr>
      <t>监控区</t>
    </r>
    <r>
      <rPr>
        <sz val="14"/>
        <color rgb="FF000000"/>
        <rFont val="宋体"/>
        <family val="3"/>
        <charset val="134"/>
      </rPr>
      <t>，蓝色代表</t>
    </r>
    <r>
      <rPr>
        <sz val="14"/>
        <color rgb="FFFF0000"/>
        <rFont val="宋体"/>
        <family val="3"/>
        <charset val="134"/>
      </rPr>
      <t>减速区</t>
    </r>
    <r>
      <rPr>
        <sz val="14"/>
        <color rgb="FF000000"/>
        <rFont val="宋体"/>
        <family val="3"/>
        <charset val="134"/>
      </rPr>
      <t>，紫色代表</t>
    </r>
    <r>
      <rPr>
        <sz val="14"/>
        <color rgb="FFFF0000"/>
        <rFont val="宋体"/>
        <family val="3"/>
        <charset val="134"/>
      </rPr>
      <t>禁止区</t>
    </r>
    <r>
      <rPr>
        <sz val="14"/>
        <color rgb="FF000000"/>
        <rFont val="宋体"/>
        <family val="3"/>
        <charset val="134"/>
      </rPr>
      <t>，这些颜色都不要使用错误，不一定是相同色号，但是颜色大致相近即可</t>
    </r>
  </si>
  <si>
    <r>
      <rPr>
        <sz val="14"/>
        <color rgb="FF000000"/>
        <rFont val="宋体"/>
        <family val="3"/>
        <charset val="134"/>
      </rPr>
      <t>基于实物视图上</t>
    </r>
    <r>
      <rPr>
        <sz val="14"/>
        <color rgb="FFFF0000"/>
        <rFont val="宋体"/>
        <family val="3"/>
        <charset val="134"/>
      </rPr>
      <t>凸显线条的视图</t>
    </r>
  </si>
  <si>
    <r>
      <rPr>
        <sz val="14"/>
        <color rgb="FF000000"/>
        <rFont val="宋体"/>
        <family val="3"/>
        <charset val="134"/>
      </rPr>
      <t>机器人主要</t>
    </r>
    <r>
      <rPr>
        <sz val="14"/>
        <color rgb="FFFF0000"/>
        <rFont val="宋体"/>
        <family val="3"/>
        <charset val="134"/>
      </rPr>
      <t>程序路径</t>
    </r>
  </si>
  <si>
    <r>
      <rPr>
        <sz val="14"/>
        <color rgb="FF000000"/>
        <rFont val="宋体"/>
        <family val="3"/>
        <charset val="134"/>
      </rPr>
      <t>机器人</t>
    </r>
    <r>
      <rPr>
        <sz val="14"/>
        <color rgb="FFFF0000"/>
        <rFont val="宋体"/>
        <family val="3"/>
        <charset val="134"/>
      </rPr>
      <t>服务程序</t>
    </r>
    <r>
      <rPr>
        <sz val="14"/>
        <color rgb="FF000000"/>
        <rFont val="宋体"/>
        <family val="3"/>
        <charset val="134"/>
      </rPr>
      <t>路径</t>
    </r>
  </si>
  <si>
    <r>
      <rPr>
        <sz val="14"/>
        <color rgb="FF000000"/>
        <rFont val="宋体"/>
        <family val="3"/>
        <charset val="134"/>
      </rPr>
      <t>user frame，</t>
    </r>
    <r>
      <rPr>
        <sz val="14"/>
        <color rgb="FFFF0000"/>
        <rFont val="宋体"/>
        <family val="3"/>
        <charset val="134"/>
      </rPr>
      <t>用户坐标</t>
    </r>
    <r>
      <rPr>
        <sz val="14"/>
        <color rgb="FF000000"/>
        <rFont val="宋体"/>
        <family val="3"/>
        <charset val="134"/>
      </rPr>
      <t>通常指的是夹具台子类的自身坐标，或叫</t>
    </r>
    <r>
      <rPr>
        <sz val="14"/>
        <color rgb="FFFF0000"/>
        <rFont val="宋体"/>
        <family val="3"/>
        <charset val="134"/>
      </rPr>
      <t>夹具坐标</t>
    </r>
  </si>
  <si>
    <r>
      <rPr>
        <sz val="14"/>
        <color rgb="FF000000"/>
        <rFont val="宋体"/>
        <family val="3"/>
        <charset val="134"/>
      </rPr>
      <t xml:space="preserve">tool frame, </t>
    </r>
    <r>
      <rPr>
        <sz val="14"/>
        <color rgb="FFFF0000"/>
        <rFont val="宋体"/>
        <family val="3"/>
        <charset val="134"/>
      </rPr>
      <t>工具端坐标</t>
    </r>
    <r>
      <rPr>
        <sz val="14"/>
        <color rgb="FF000000"/>
        <rFont val="宋体"/>
        <family val="3"/>
        <charset val="134"/>
      </rPr>
      <t>，机器人运行路径所使用的一个坐标系</t>
    </r>
  </si>
  <si>
    <r>
      <rPr>
        <sz val="14"/>
        <color rgb="FF000000"/>
        <rFont val="宋体"/>
        <family val="3"/>
        <charset val="134"/>
      </rPr>
      <t>仿真所用的所有的</t>
    </r>
    <r>
      <rPr>
        <sz val="14"/>
        <color rgb="FFFF0000"/>
        <rFont val="宋体"/>
        <family val="3"/>
        <charset val="134"/>
      </rPr>
      <t>资源库</t>
    </r>
  </si>
  <si>
    <r>
      <rPr>
        <sz val="14"/>
        <color rgb="FF000000"/>
        <rFont val="宋体"/>
        <family val="3"/>
        <charset val="134"/>
      </rPr>
      <t>设备动作编辑器；运动编辑:指</t>
    </r>
    <r>
      <rPr>
        <sz val="14"/>
        <color rgb="FFFF0000"/>
        <rFont val="宋体"/>
        <family val="3"/>
        <charset val="134"/>
      </rPr>
      <t>设备动作</t>
    </r>
    <r>
      <rPr>
        <sz val="14"/>
        <color rgb="FF000000"/>
        <rFont val="宋体"/>
        <family val="3"/>
        <charset val="134"/>
      </rPr>
      <t>，即夹具或焊枪，要让它动</t>
    </r>
  </si>
  <si>
    <r>
      <rPr>
        <sz val="14"/>
        <color rgb="FF000000"/>
        <rFont val="宋体"/>
        <family val="3"/>
        <charset val="134"/>
      </rPr>
      <t>一个仿真命令：直接对数模进行</t>
    </r>
    <r>
      <rPr>
        <sz val="14"/>
        <color rgb="FFFF0000"/>
        <rFont val="宋体"/>
        <family val="3"/>
        <charset val="134"/>
      </rPr>
      <t>平移与旋转操作</t>
    </r>
  </si>
  <si>
    <r>
      <rPr>
        <sz val="14"/>
        <color rgb="FFFF0000"/>
        <rFont val="宋体"/>
        <family val="3"/>
        <charset val="134"/>
      </rPr>
      <t>机器人程序加载</t>
    </r>
    <r>
      <rPr>
        <sz val="14"/>
        <color rgb="FF000000"/>
        <rFont val="宋体"/>
        <family val="3"/>
        <charset val="134"/>
      </rPr>
      <t xml:space="preserve">：使Robot program inventory 命令，把每台机器人所有程序都加载到对应机器人下面，方便客户下载所有程序。
</t>
    </r>
  </si>
  <si>
    <r>
      <rPr>
        <sz val="11"/>
        <color rgb="FF000000"/>
        <rFont val="宋体"/>
        <family val="3"/>
        <charset val="134"/>
      </rPr>
      <t>air unit；</t>
    </r>
    <r>
      <rPr>
        <sz val="11"/>
        <color rgb="FFFF0000"/>
        <rFont val="宋体"/>
        <family val="3"/>
        <charset val="134"/>
      </rPr>
      <t>air stand</t>
    </r>
    <r>
      <rPr>
        <sz val="11"/>
        <color rgb="FF000000"/>
        <rFont val="宋体"/>
        <family val="3"/>
        <charset val="134"/>
      </rPr>
      <t>;air preparation</t>
    </r>
  </si>
  <si>
    <r>
      <rPr>
        <u/>
        <sz val="11"/>
        <color rgb="FF267EF0"/>
        <rFont val="宋体"/>
        <family val="3"/>
        <charset val="134"/>
      </rPr>
      <t>电动地牛；电动托盘运输车 （链接：https://zhuanlan.zhihu.com/p/479661319）</t>
    </r>
  </si>
  <si>
    <r>
      <rPr>
        <sz val="11"/>
        <color rgb="FF000000"/>
        <rFont val="宋体"/>
        <family val="3"/>
        <charset val="134"/>
      </rPr>
      <t>本田的</t>
    </r>
    <r>
      <rPr>
        <sz val="11"/>
        <color rgb="FFFF0000"/>
        <rFont val="宋体"/>
        <family val="3"/>
        <charset val="134"/>
      </rPr>
      <t>式样书</t>
    </r>
    <r>
      <rPr>
        <sz val="11"/>
        <color rgb="FF000000"/>
        <rFont val="宋体"/>
        <family val="3"/>
        <charset val="134"/>
      </rPr>
      <t>，类似方案</t>
    </r>
  </si>
  <si>
    <r>
      <rPr>
        <sz val="14"/>
        <color rgb="FF000000"/>
        <rFont val="宋体"/>
        <family val="3"/>
        <charset val="134"/>
      </rPr>
      <t>缓存台 （</t>
    </r>
    <r>
      <rPr>
        <b/>
        <sz val="14"/>
        <color rgb="FF000000"/>
        <rFont val="宋体"/>
        <family val="3"/>
        <charset val="134"/>
      </rPr>
      <t>比如一个工序里面，前一个机器人放件给下一个机器人，他们中间加一个台子，前一个机器人放下，然后回去继续抓件，后一个机器人从台子上抓件，可以实现机器人之间不用相互等待。</t>
    </r>
    <r>
      <rPr>
        <sz val="14"/>
        <color rgb="FF000000"/>
        <rFont val="宋体"/>
        <family val="3"/>
        <charset val="134"/>
      </rPr>
      <t>）</t>
    </r>
  </si>
  <si>
    <r>
      <rPr>
        <sz val="14"/>
        <color rgb="FF000000"/>
        <rFont val="宋体"/>
        <family val="3"/>
        <charset val="134"/>
      </rPr>
      <t>转毂 （</t>
    </r>
    <r>
      <rPr>
        <b/>
        <sz val="14"/>
        <color rgb="FF000000"/>
        <rFont val="宋体"/>
        <family val="3"/>
        <charset val="134"/>
      </rPr>
      <t>水平旋转的叫转台，竖直翻转的叫转毂</t>
    </r>
    <r>
      <rPr>
        <sz val="14"/>
        <color rgb="FF000000"/>
        <rFont val="宋体"/>
        <family val="3"/>
        <charset val="134"/>
      </rPr>
      <t>）</t>
    </r>
  </si>
  <si>
    <r>
      <rPr>
        <sz val="14"/>
        <color rgb="FF000000"/>
        <rFont val="宋体"/>
        <family val="3"/>
        <charset val="134"/>
      </rPr>
      <t>电动</t>
    </r>
    <r>
      <rPr>
        <sz val="14"/>
        <color rgb="FFFF0000"/>
        <rFont val="宋体"/>
        <family val="3"/>
        <charset val="134"/>
      </rPr>
      <t>摆臂式修磨器（适用于没有工业机器人携带的固定式焊枪）</t>
    </r>
  </si>
  <si>
    <r>
      <rPr>
        <sz val="10"/>
        <color rgb="FF000000"/>
        <rFont val="微软雅黑"/>
        <family val="2"/>
        <charset val="134"/>
      </rPr>
      <t xml:space="preserve">busplug   </t>
    </r>
    <r>
      <rPr>
        <sz val="11"/>
        <color rgb="FF000000"/>
        <rFont val="Microsoft YaHei"/>
        <family val="2"/>
        <charset val="134"/>
      </rPr>
      <t xml:space="preserve"> </t>
    </r>
  </si>
  <si>
    <r>
      <rPr>
        <sz val="11"/>
        <color rgb="FF000000"/>
        <rFont val="微软雅黑"/>
        <family val="2"/>
        <charset val="134"/>
      </rPr>
      <t xml:space="preserve">MC </t>
    </r>
    <r>
      <rPr>
        <sz val="10"/>
        <color rgb="FF000000"/>
        <rFont val="微软雅黑"/>
        <family val="2"/>
        <charset val="134"/>
      </rPr>
      <t>plug   MC</t>
    </r>
  </si>
  <si>
    <r>
      <rPr>
        <sz val="11"/>
        <color rgb="FF000000"/>
        <rFont val="微软雅黑"/>
        <family val="2"/>
        <charset val="134"/>
      </rPr>
      <t>AGV---automated</t>
    </r>
    <r>
      <rPr>
        <sz val="11"/>
        <color rgb="FF000000"/>
        <rFont val="微软雅黑"/>
        <family val="2"/>
        <charset val="134"/>
      </rPr>
      <t xml:space="preserve">
Guide vehicle</t>
    </r>
  </si>
  <si>
    <r>
      <rPr>
        <sz val="11"/>
        <color rgb="FF000000"/>
        <rFont val="Microsoft YaHei"/>
        <family val="2"/>
        <charset val="134"/>
      </rPr>
      <t>HMI</t>
    </r>
    <r>
      <rPr>
        <sz val="11"/>
        <color rgb="FF000000"/>
        <rFont val="Microsoft YaHei"/>
        <family val="2"/>
        <charset val="134"/>
      </rPr>
      <t xml:space="preserve">
--human machine interface</t>
    </r>
  </si>
  <si>
    <r>
      <rPr>
        <sz val="11"/>
        <color rgb="FF000000"/>
        <rFont val="Microsoft YaHei"/>
        <family val="2"/>
        <charset val="134"/>
      </rPr>
      <t>integration</t>
    </r>
    <r>
      <rPr>
        <sz val="11"/>
        <color rgb="FF000000"/>
        <rFont val="Microsoft YaHei"/>
        <family val="2"/>
        <charset val="134"/>
      </rPr>
      <t xml:space="preserve">
of programmable systems dedicated to safety </t>
    </r>
  </si>
  <si>
    <t>T客户</t>
    <phoneticPr fontId="35" type="noConversion"/>
  </si>
  <si>
    <t>The colors in 3D are based on Mino’s standard not T’s standard
3D图的颜色属于明珞的标准（出图时会按照客户的标准核对涂装颜色）</t>
    <phoneticPr fontId="35" type="noConversion"/>
  </si>
  <si>
    <t>Can you display the volume of…打开机器人/焊接等的包络体（T客户Marco常问）</t>
    <phoneticPr fontId="35" type="noConversion"/>
  </si>
  <si>
    <t>R客户</t>
    <phoneticPr fontId="35" type="noConversion"/>
  </si>
  <si>
    <t>L客户</t>
    <phoneticPr fontId="3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</si>
</sst>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0"/>
      <color theme="1"/>
      <name val="等线"/>
      <family val="2"/>
      <charset val="134"/>
      <scheme val="minor"/>
    </font>
    <font>
      <sz val="11"/>
      <name val="宋体"/>
      <family val="3"/>
      <charset val="134"/>
    </font>
    <font>
      <b/>
      <sz val="14"/>
      <name val="宋体"/>
      <family val="3"/>
      <charset val="134"/>
    </font>
    <font>
      <b/>
      <sz val="16"/>
      <name val="宋体"/>
      <family val="3"/>
      <charset val="134"/>
    </font>
    <font>
      <sz val="12"/>
      <name val="宋体"/>
      <family val="3"/>
      <charset val="134"/>
    </font>
    <font>
      <sz val="10"/>
      <name val="等线"/>
      <family val="3"/>
      <charset val="134"/>
    </font>
    <font>
      <sz val="14"/>
      <name val="宋体"/>
      <family val="3"/>
      <charset val="134"/>
    </font>
    <font>
      <sz val="11"/>
      <color rgb="FFFF0000"/>
      <name val="宋体"/>
      <family val="3"/>
      <charset val="134"/>
    </font>
    <font>
      <u/>
      <sz val="11"/>
      <color rgb="FF800080"/>
      <name val="宋体"/>
      <family val="3"/>
      <charset val="134"/>
    </font>
    <font>
      <b/>
      <sz val="20"/>
      <name val="宋体"/>
      <family val="3"/>
      <charset val="134"/>
    </font>
    <font>
      <b/>
      <sz val="10"/>
      <name val="等线"/>
      <family val="3"/>
      <charset val="134"/>
    </font>
    <font>
      <sz val="10"/>
      <name val="等线"/>
      <family val="3"/>
      <charset val="134"/>
    </font>
    <font>
      <sz val="9"/>
      <name val="等线"/>
      <family val="3"/>
      <charset val="134"/>
    </font>
    <font>
      <sz val="10"/>
      <color rgb="FF000000"/>
      <name val="等线"/>
      <family val="3"/>
      <charset val="134"/>
    </font>
    <font>
      <b/>
      <sz val="18"/>
      <name val="宋体"/>
      <family val="3"/>
      <charset val="134"/>
    </font>
    <font>
      <sz val="18"/>
      <name val="宋体"/>
      <family val="3"/>
      <charset val="134"/>
    </font>
    <font>
      <sz val="18"/>
      <color rgb="FFFF0000"/>
      <name val="宋体"/>
      <family val="3"/>
      <charset val="134"/>
    </font>
    <font>
      <sz val="10"/>
      <name val="等线"/>
      <family val="3"/>
      <charset val="134"/>
    </font>
    <font>
      <sz val="10"/>
      <color rgb="FFFF0000"/>
      <name val="等线"/>
      <family val="3"/>
      <charset val="134"/>
    </font>
    <font>
      <sz val="18"/>
      <name val="宋体"/>
      <family val="3"/>
      <charset val="134"/>
    </font>
    <font>
      <sz val="22"/>
      <name val="黑体"/>
      <family val="3"/>
      <charset val="134"/>
    </font>
    <font>
      <b/>
      <sz val="12"/>
      <name val="等线"/>
      <family val="3"/>
      <charset val="134"/>
    </font>
    <font>
      <sz val="12"/>
      <name val="等线"/>
      <family val="3"/>
      <charset val="134"/>
    </font>
    <font>
      <sz val="12"/>
      <color rgb="FF272727"/>
      <name val="Inter"/>
    </font>
    <font>
      <sz val="12"/>
      <name val="Inter"/>
    </font>
    <font>
      <sz val="11"/>
      <color rgb="FF000000"/>
      <name val="宋体"/>
      <family val="3"/>
      <charset val="134"/>
    </font>
    <font>
      <b/>
      <sz val="10"/>
      <color rgb="FF000000"/>
      <name val="微软雅黑"/>
      <family val="2"/>
      <charset val="134"/>
    </font>
    <font>
      <sz val="18"/>
      <color rgb="FF000000"/>
      <name val="宋体"/>
      <family val="3"/>
      <charset val="134"/>
    </font>
    <font>
      <sz val="14"/>
      <color rgb="FF000000"/>
      <name val="宋体"/>
      <family val="3"/>
      <charset val="134"/>
    </font>
    <font>
      <sz val="14"/>
      <color rgb="FFFF0000"/>
      <name val="宋体"/>
      <family val="3"/>
      <charset val="134"/>
    </font>
    <font>
      <u/>
      <sz val="11"/>
      <color rgb="FF267EF0"/>
      <name val="宋体"/>
      <family val="3"/>
      <charset val="134"/>
    </font>
    <font>
      <b/>
      <sz val="14"/>
      <color rgb="FF000000"/>
      <name val="宋体"/>
      <family val="3"/>
      <charset val="134"/>
    </font>
    <font>
      <sz val="10"/>
      <color rgb="FF000000"/>
      <name val="微软雅黑"/>
      <family val="2"/>
      <charset val="134"/>
    </font>
    <font>
      <sz val="11"/>
      <color rgb="FF000000"/>
      <name val="Microsoft YaHei"/>
      <family val="2"/>
      <charset val="134"/>
    </font>
    <font>
      <sz val="11"/>
      <color rgb="FF000000"/>
      <name val="微软雅黑"/>
      <family val="2"/>
      <charset val="134"/>
    </font>
    <font>
      <sz val="9"/>
      <name val="等线"/>
      <family val="2"/>
      <charset val="134"/>
      <scheme val="minor"/>
    </font>
  </fonts>
  <fills count="12">
    <fill>
      <patternFill patternType="none"/>
    </fill>
    <fill>
      <patternFill patternType="gray125"/>
    </fill>
    <fill>
      <patternFill patternType="solid">
        <fgColor rgb="FFFFFF00"/>
        <bgColor auto="1"/>
      </patternFill>
    </fill>
    <fill>
      <patternFill patternType="none"/>
    </fill>
    <fill>
      <patternFill patternType="none"/>
    </fill>
    <fill>
      <patternFill patternType="solid">
        <fgColor rgb="FFD8D8D8"/>
        <bgColor auto="1"/>
      </patternFill>
    </fill>
    <fill>
      <patternFill patternType="solid">
        <fgColor rgb="FF92D050"/>
        <bgColor auto="1"/>
      </patternFill>
    </fill>
    <fill>
      <patternFill patternType="solid">
        <fgColor rgb="FFFFF9E3"/>
        <bgColor auto="1"/>
      </patternFill>
    </fill>
    <fill>
      <patternFill patternType="solid">
        <fgColor rgb="FFFFC000"/>
        <bgColor auto="1"/>
      </patternFill>
    </fill>
    <fill>
      <patternFill patternType="solid">
        <fgColor rgb="FF00B050"/>
        <bgColor auto="1"/>
      </patternFill>
    </fill>
    <fill>
      <patternFill patternType="solid">
        <fgColor rgb="FFFFFFFF"/>
        <bgColor rgb="FF000000"/>
      </patternFill>
    </fill>
    <fill>
      <patternFill patternType="solid">
        <fgColor rgb="FFA8EAE4"/>
        <bgColor rgb="FF000000"/>
      </patternFill>
    </fill>
  </fills>
  <borders count="46">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diagonalUp="1" diagonalDown="1">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diagonal/>
    </border>
    <border diagonalUp="1" diagonalDown="1">
      <left style="thin">
        <color rgb="FF000000"/>
      </left>
      <right style="thin">
        <color rgb="FF000000"/>
      </right>
      <top style="thin">
        <color rgb="FF000000"/>
      </top>
      <bottom style="thin">
        <color rgb="FF000000"/>
      </bottom>
      <diagonal/>
    </border>
    <border diagonalUp="1" diagonalDown="1">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right/>
      <top/>
      <bottom/>
      <diagonal/>
    </border>
    <border>
      <left style="medium">
        <color rgb="FF000000"/>
      </left>
      <right style="thin">
        <color rgb="FF000000"/>
      </right>
      <top/>
      <bottom/>
      <diagonal/>
    </border>
    <border>
      <left/>
      <right style="medium">
        <color rgb="FF000000"/>
      </right>
      <top/>
      <bottom/>
      <diagonal/>
    </border>
    <border>
      <left style="medium">
        <color rgb="FF000000"/>
      </left>
      <right style="thin">
        <color rgb="FF000000"/>
      </right>
      <top style="thin">
        <color rgb="FF000000"/>
      </top>
      <bottom/>
      <diagonal/>
    </border>
    <border>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right/>
      <top/>
      <bottom/>
      <diagonal/>
    </border>
    <border>
      <left/>
      <right/>
      <top/>
      <bottom/>
      <diagonal/>
    </border>
    <border>
      <left style="medium">
        <color rgb="FF000000"/>
      </left>
      <right style="thin">
        <color rgb="FF000000"/>
      </right>
      <top/>
      <bottom style="thin">
        <color rgb="FF000000"/>
      </bottom>
      <diagonal/>
    </border>
    <border>
      <left/>
      <right style="medium">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right style="medium">
        <color rgb="FF000000"/>
      </right>
      <top style="medium">
        <color rgb="FF000000"/>
      </top>
      <bottom/>
      <diagonal/>
    </border>
  </borders>
  <cellStyleXfs count="1">
    <xf numFmtId="0" fontId="0" fillId="0" borderId="0">
      <alignment vertical="center"/>
    </xf>
  </cellStyleXfs>
  <cellXfs count="208">
    <xf numFmtId="0" fontId="0" fillId="0" borderId="0" xfId="0">
      <alignment vertical="center"/>
    </xf>
    <xf numFmtId="0" fontId="1" fillId="0" borderId="0" xfId="0" applyFont="1" applyAlignment="1">
      <alignment horizontal="center" vertical="center" wrapText="1"/>
    </xf>
    <xf numFmtId="0" fontId="2" fillId="2" borderId="0" xfId="0" applyFont="1" applyFill="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2" fillId="3" borderId="0" xfId="0" applyFont="1" applyFill="1" applyAlignment="1">
      <alignment vertical="center" wrapText="1"/>
    </xf>
    <xf numFmtId="0" fontId="4" fillId="0" borderId="0" xfId="0" applyFont="1" applyAlignment="1">
      <alignment vertical="center" wrapText="1"/>
    </xf>
    <xf numFmtId="0" fontId="4" fillId="0" borderId="0" xfId="0" applyFont="1">
      <alignment vertical="center"/>
    </xf>
    <xf numFmtId="0" fontId="5" fillId="0" borderId="0" xfId="0" applyFont="1">
      <alignment vertical="center"/>
    </xf>
    <xf numFmtId="0" fontId="3" fillId="4" borderId="0" xfId="0" applyFont="1" applyFill="1" applyAlignment="1">
      <alignment vertical="center" wrapText="1"/>
    </xf>
    <xf numFmtId="0" fontId="1" fillId="0" borderId="0" xfId="0" applyFont="1">
      <alignment vertical="center"/>
    </xf>
    <xf numFmtId="0" fontId="6" fillId="0" borderId="0" xfId="0" applyFont="1" applyAlignment="1">
      <alignment horizontal="center" vertical="center" wrapText="1"/>
    </xf>
    <xf numFmtId="0" fontId="5" fillId="0" borderId="0" xfId="0" applyFont="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6" fillId="0" borderId="0" xfId="0" applyFont="1" applyAlignment="1">
      <alignment vertical="center" wrapText="1"/>
    </xf>
    <xf numFmtId="0" fontId="9" fillId="0" borderId="0" xfId="0" applyFont="1" applyAlignment="1">
      <alignment vertical="center" wrapText="1"/>
    </xf>
    <xf numFmtId="0" fontId="10" fillId="4" borderId="0" xfId="0" applyFont="1" applyFill="1" applyAlignment="1">
      <alignment horizontal="center" vertical="center"/>
    </xf>
    <xf numFmtId="0" fontId="10" fillId="0" borderId="0" xfId="0" applyFont="1" applyAlignment="1">
      <alignment horizontal="center" vertical="center"/>
    </xf>
    <xf numFmtId="14" fontId="10" fillId="4" borderId="0" xfId="0" applyNumberFormat="1" applyFont="1" applyFill="1" applyAlignment="1">
      <alignment horizontal="center" vertical="center"/>
    </xf>
    <xf numFmtId="14" fontId="0" fillId="4" borderId="0" xfId="0" applyNumberFormat="1" applyFill="1">
      <alignment vertical="center"/>
    </xf>
    <xf numFmtId="14" fontId="0" fillId="4" borderId="0" xfId="0" applyNumberFormat="1" applyFill="1" applyAlignment="1">
      <alignment horizontal="center" vertical="center"/>
    </xf>
    <xf numFmtId="14" fontId="0" fillId="0" borderId="0" xfId="0" applyNumberFormat="1">
      <alignment vertical="center"/>
    </xf>
    <xf numFmtId="14" fontId="0" fillId="0" borderId="0" xfId="0" applyNumberFormat="1" applyAlignment="1">
      <alignment horizontal="center" vertical="center"/>
    </xf>
    <xf numFmtId="0" fontId="0" fillId="4" borderId="0" xfId="0" applyFill="1" applyAlignment="1">
      <alignment horizontal="center" vertical="center"/>
    </xf>
    <xf numFmtId="0" fontId="0" fillId="0" borderId="0" xfId="0" applyAlignment="1">
      <alignment horizontal="center" vertical="center"/>
    </xf>
    <xf numFmtId="0" fontId="0" fillId="4" borderId="4" xfId="0" applyFill="1" applyBorder="1">
      <alignment vertical="center"/>
    </xf>
    <xf numFmtId="14" fontId="10" fillId="2" borderId="7" xfId="0" applyNumberFormat="1" applyFont="1" applyFill="1" applyBorder="1" applyAlignment="1">
      <alignment horizontal="center" vertical="center"/>
    </xf>
    <xf numFmtId="14" fontId="10" fillId="6" borderId="7" xfId="0" applyNumberFormat="1" applyFont="1" applyFill="1" applyBorder="1" applyAlignment="1">
      <alignment horizontal="center" vertical="center"/>
    </xf>
    <xf numFmtId="0" fontId="10" fillId="2" borderId="7" xfId="0" applyFont="1" applyFill="1" applyBorder="1" applyAlignment="1">
      <alignment horizontal="center" vertical="center"/>
    </xf>
    <xf numFmtId="0" fontId="10" fillId="2" borderId="7" xfId="0" applyFont="1" applyFill="1" applyBorder="1" applyAlignment="1">
      <alignment horizontal="center" vertical="center" wrapText="1"/>
    </xf>
    <xf numFmtId="0" fontId="10" fillId="6" borderId="7" xfId="0" applyFont="1" applyFill="1" applyBorder="1" applyAlignment="1">
      <alignment horizontal="center" vertical="center"/>
    </xf>
    <xf numFmtId="0" fontId="10" fillId="6" borderId="7" xfId="0" applyFont="1" applyFill="1" applyBorder="1" applyAlignment="1">
      <alignment horizontal="center" vertical="center" wrapText="1"/>
    </xf>
    <xf numFmtId="0" fontId="0" fillId="0" borderId="7" xfId="0" applyBorder="1">
      <alignment vertical="center"/>
    </xf>
    <xf numFmtId="0" fontId="0" fillId="0" borderId="9" xfId="0" applyBorder="1">
      <alignment vertical="center"/>
    </xf>
    <xf numFmtId="0" fontId="0" fillId="0" borderId="7" xfId="0" applyBorder="1" applyAlignment="1">
      <alignment horizontal="center" vertical="center"/>
    </xf>
    <xf numFmtId="0" fontId="0" fillId="2" borderId="7" xfId="0" applyFill="1" applyBorder="1" applyAlignment="1">
      <alignment horizontal="center" vertical="center"/>
    </xf>
    <xf numFmtId="0" fontId="0" fillId="6" borderId="7" xfId="0" applyFill="1" applyBorder="1" applyAlignment="1">
      <alignment horizontal="center" vertical="center"/>
    </xf>
    <xf numFmtId="0" fontId="0" fillId="0" borderId="7" xfId="0" applyBorder="1" applyAlignment="1">
      <alignment horizontal="center" vertical="center" wrapText="1"/>
    </xf>
    <xf numFmtId="0" fontId="0" fillId="0" borderId="9" xfId="0" applyBorder="1" applyAlignment="1">
      <alignment horizontal="center" vertical="center"/>
    </xf>
    <xf numFmtId="0" fontId="12" fillId="0" borderId="7" xfId="0" applyFont="1" applyBorder="1" applyAlignment="1">
      <alignment horizontal="center" vertical="center"/>
    </xf>
    <xf numFmtId="0" fontId="12" fillId="4" borderId="7" xfId="0" applyFont="1" applyFill="1" applyBorder="1" applyAlignment="1">
      <alignment horizontal="center" vertical="center"/>
    </xf>
    <xf numFmtId="0" fontId="0" fillId="7" borderId="7" xfId="0" applyFill="1" applyBorder="1" applyAlignment="1">
      <alignment horizontal="center" vertical="center"/>
    </xf>
    <xf numFmtId="0" fontId="0" fillId="0" borderId="5" xfId="0" applyBorder="1">
      <alignment vertical="center"/>
    </xf>
    <xf numFmtId="0" fontId="0" fillId="0" borderId="9" xfId="0" applyBorder="1">
      <alignment vertical="center"/>
    </xf>
    <xf numFmtId="0" fontId="0" fillId="0" borderId="7" xfId="0" applyBorder="1">
      <alignment vertical="center"/>
    </xf>
    <xf numFmtId="0" fontId="12" fillId="0" borderId="15" xfId="0" applyFont="1" applyBorder="1" applyAlignment="1">
      <alignment horizontal="center" vertical="center"/>
    </xf>
    <xf numFmtId="0" fontId="0" fillId="0" borderId="8" xfId="0" applyBorder="1">
      <alignment vertical="center"/>
    </xf>
    <xf numFmtId="0" fontId="12" fillId="0" borderId="9" xfId="0" applyFont="1" applyBorder="1" applyAlignment="1">
      <alignment horizontal="center" vertical="center"/>
    </xf>
    <xf numFmtId="0" fontId="0" fillId="0" borderId="16" xfId="0" applyBorder="1" applyAlignment="1">
      <alignment horizontal="center" vertical="center"/>
    </xf>
    <xf numFmtId="0" fontId="0" fillId="0" borderId="16" xfId="0" applyBorder="1">
      <alignment vertical="center"/>
    </xf>
    <xf numFmtId="0" fontId="13" fillId="6" borderId="7" xfId="0" applyFont="1" applyFill="1" applyBorder="1" applyAlignment="1">
      <alignment horizontal="center" vertical="center"/>
    </xf>
    <xf numFmtId="14" fontId="0" fillId="6" borderId="7" xfId="0" applyNumberFormat="1" applyFill="1" applyBorder="1" applyAlignment="1">
      <alignment horizontal="center" vertical="center"/>
    </xf>
    <xf numFmtId="0" fontId="11" fillId="0" borderId="7" xfId="0" applyFont="1" applyBorder="1" applyAlignment="1">
      <alignment horizontal="center" vertical="center"/>
    </xf>
    <xf numFmtId="0" fontId="0" fillId="0" borderId="9" xfId="0" applyBorder="1" applyAlignment="1">
      <alignment vertical="center" wrapText="1"/>
    </xf>
    <xf numFmtId="0" fontId="12" fillId="0" borderId="7" xfId="0" applyFont="1" applyBorder="1" applyAlignment="1">
      <alignment horizontal="center" vertical="center"/>
    </xf>
    <xf numFmtId="0" fontId="0" fillId="5" borderId="7" xfId="0" applyFill="1" applyBorder="1" applyAlignment="1">
      <alignment horizontal="center" vertical="center"/>
    </xf>
    <xf numFmtId="0" fontId="0" fillId="5" borderId="7" xfId="0" applyFill="1" applyBorder="1" applyAlignment="1">
      <alignment horizontal="center" vertical="center" wrapText="1"/>
    </xf>
    <xf numFmtId="0" fontId="0" fillId="5" borderId="9" xfId="0" applyFill="1" applyBorder="1" applyAlignment="1">
      <alignment horizontal="center" vertical="center"/>
    </xf>
    <xf numFmtId="0" fontId="0" fillId="4" borderId="9" xfId="0" applyFill="1" applyBorder="1" applyAlignment="1">
      <alignment horizontal="center" vertical="center"/>
    </xf>
    <xf numFmtId="0" fontId="12" fillId="5" borderId="7" xfId="0" applyFont="1" applyFill="1" applyBorder="1" applyAlignment="1">
      <alignment horizontal="center" vertical="center"/>
    </xf>
    <xf numFmtId="0" fontId="0" fillId="5" borderId="7" xfId="0" applyFill="1" applyBorder="1">
      <alignment vertical="center"/>
    </xf>
    <xf numFmtId="0" fontId="0" fillId="5" borderId="14" xfId="0" applyFill="1" applyBorder="1">
      <alignment vertical="center"/>
    </xf>
    <xf numFmtId="0" fontId="0" fillId="5" borderId="9" xfId="0" applyFill="1" applyBorder="1">
      <alignment vertical="center"/>
    </xf>
    <xf numFmtId="0" fontId="12" fillId="4" borderId="15" xfId="0" applyFont="1" applyFill="1" applyBorder="1" applyAlignment="1">
      <alignment horizontal="center" vertical="center"/>
    </xf>
    <xf numFmtId="0" fontId="0" fillId="4" borderId="7" xfId="0" applyFill="1" applyBorder="1" applyAlignment="1">
      <alignment horizontal="center" vertical="center"/>
    </xf>
    <xf numFmtId="0" fontId="0" fillId="4" borderId="7" xfId="0" applyFill="1" applyBorder="1">
      <alignment vertical="center"/>
    </xf>
    <xf numFmtId="0" fontId="0" fillId="5" borderId="15" xfId="0" applyFill="1" applyBorder="1" applyAlignment="1">
      <alignment horizontal="center" vertical="center"/>
    </xf>
    <xf numFmtId="0" fontId="0" fillId="4" borderId="9" xfId="0" applyFill="1" applyBorder="1">
      <alignment vertical="center"/>
    </xf>
    <xf numFmtId="0" fontId="0" fillId="4" borderId="7" xfId="0" applyFill="1" applyBorder="1">
      <alignment vertical="center"/>
    </xf>
    <xf numFmtId="0" fontId="11" fillId="6" borderId="7" xfId="0" applyFont="1" applyFill="1" applyBorder="1" applyAlignment="1">
      <alignment horizontal="center" vertical="center"/>
    </xf>
    <xf numFmtId="0" fontId="11" fillId="0" borderId="15" xfId="0" applyFont="1" applyBorder="1">
      <alignment vertical="center"/>
    </xf>
    <xf numFmtId="0" fontId="0" fillId="0" borderId="15" xfId="0" applyBorder="1" applyAlignment="1">
      <alignment horizontal="center" vertical="center"/>
    </xf>
    <xf numFmtId="0" fontId="0" fillId="5" borderId="8" xfId="0" applyFill="1" applyBorder="1">
      <alignment vertical="center"/>
    </xf>
    <xf numFmtId="0" fontId="0" fillId="5" borderId="16" xfId="0" applyFill="1" applyBorder="1">
      <alignment vertical="center"/>
    </xf>
    <xf numFmtId="0" fontId="11" fillId="5" borderId="7" xfId="0" applyFont="1" applyFill="1" applyBorder="1" applyAlignment="1">
      <alignment horizontal="center" vertical="center"/>
    </xf>
    <xf numFmtId="0" fontId="12" fillId="0" borderId="15" xfId="0" applyFont="1" applyBorder="1" applyAlignment="1">
      <alignment horizontal="center" vertical="center"/>
    </xf>
    <xf numFmtId="0" fontId="0" fillId="5" borderId="7" xfId="0" applyFill="1" applyBorder="1">
      <alignment vertical="center"/>
    </xf>
    <xf numFmtId="0" fontId="12" fillId="5" borderId="7" xfId="0" applyFont="1" applyFill="1" applyBorder="1" applyAlignment="1">
      <alignment horizontal="center" vertical="center"/>
    </xf>
    <xf numFmtId="0" fontId="0" fillId="5" borderId="9" xfId="0" applyFill="1" applyBorder="1">
      <alignment vertical="center"/>
    </xf>
    <xf numFmtId="0" fontId="12" fillId="5" borderId="15" xfId="0" applyFont="1" applyFill="1" applyBorder="1" applyAlignment="1">
      <alignment horizontal="center" vertical="center"/>
    </xf>
    <xf numFmtId="0" fontId="11" fillId="4" borderId="17" xfId="0" applyFont="1" applyFill="1" applyBorder="1">
      <alignment vertical="center"/>
    </xf>
    <xf numFmtId="0" fontId="10" fillId="8" borderId="9" xfId="0" applyFont="1" applyFill="1" applyBorder="1" applyAlignment="1">
      <alignment horizontal="center" vertical="center"/>
    </xf>
    <xf numFmtId="0" fontId="10" fillId="8" borderId="15" xfId="0" applyFont="1" applyFill="1" applyBorder="1" applyAlignment="1">
      <alignment horizontal="center" vertical="center"/>
    </xf>
    <xf numFmtId="0" fontId="0" fillId="8" borderId="7" xfId="0" applyFill="1" applyBorder="1">
      <alignment vertical="center"/>
    </xf>
    <xf numFmtId="0" fontId="0" fillId="8" borderId="10" xfId="0" applyFill="1" applyBorder="1">
      <alignment vertical="center"/>
    </xf>
    <xf numFmtId="0" fontId="0" fillId="8" borderId="9" xfId="0" applyFill="1" applyBorder="1">
      <alignment vertical="center"/>
    </xf>
    <xf numFmtId="0" fontId="0" fillId="8" borderId="7" xfId="0" applyFill="1" applyBorder="1" applyAlignment="1">
      <alignment horizontal="center" vertical="center"/>
    </xf>
    <xf numFmtId="0" fontId="10" fillId="8" borderId="6" xfId="0" applyFont="1" applyFill="1" applyBorder="1" applyAlignment="1">
      <alignment horizontal="center" vertical="center"/>
    </xf>
    <xf numFmtId="10" fontId="10" fillId="8" borderId="6" xfId="0" applyNumberFormat="1" applyFont="1" applyFill="1" applyBorder="1" applyAlignment="1">
      <alignment horizontal="center" vertical="center"/>
    </xf>
    <xf numFmtId="10" fontId="10" fillId="8" borderId="21" xfId="0" applyNumberFormat="1" applyFont="1" applyFill="1" applyBorder="1" applyAlignment="1">
      <alignment horizontal="center" vertical="center"/>
    </xf>
    <xf numFmtId="0" fontId="0" fillId="8" borderId="5" xfId="0" applyFill="1" applyBorder="1" applyAlignment="1">
      <alignment horizontal="center" vertical="center"/>
    </xf>
    <xf numFmtId="0" fontId="0" fillId="8" borderId="5" xfId="0" applyFill="1" applyBorder="1">
      <alignment vertical="center"/>
    </xf>
    <xf numFmtId="0" fontId="0" fillId="8" borderId="6" xfId="0" applyFill="1" applyBorder="1">
      <alignment vertical="center"/>
    </xf>
    <xf numFmtId="10" fontId="10" fillId="8" borderId="22" xfId="0" applyNumberFormat="1" applyFont="1" applyFill="1" applyBorder="1" applyAlignment="1">
      <alignment horizontal="center" vertical="center"/>
    </xf>
    <xf numFmtId="0" fontId="0" fillId="0" borderId="17" xfId="0" applyBorder="1" applyAlignment="1">
      <alignment horizontal="center" vertical="center"/>
    </xf>
    <xf numFmtId="0" fontId="0" fillId="0" borderId="17" xfId="0" applyBorder="1" applyAlignment="1">
      <alignment horizontal="center" vertical="center" wrapText="1"/>
    </xf>
    <xf numFmtId="0" fontId="0" fillId="7" borderId="17" xfId="0" applyFill="1" applyBorder="1" applyAlignment="1">
      <alignment horizontal="center" vertical="center"/>
    </xf>
    <xf numFmtId="0" fontId="0" fillId="0" borderId="17" xfId="0" applyBorder="1">
      <alignment vertical="center"/>
    </xf>
    <xf numFmtId="0" fontId="0" fillId="0" borderId="23" xfId="0" applyBorder="1">
      <alignment vertical="center"/>
    </xf>
    <xf numFmtId="14" fontId="0" fillId="0" borderId="17" xfId="0" applyNumberFormat="1" applyBorder="1" applyAlignment="1">
      <alignment horizontal="center" vertical="center"/>
    </xf>
    <xf numFmtId="0" fontId="0" fillId="0" borderId="24" xfId="0" applyBorder="1">
      <alignment vertical="center"/>
    </xf>
    <xf numFmtId="0" fontId="0" fillId="0" borderId="26" xfId="0" applyBorder="1" applyAlignment="1">
      <alignment horizontal="center" vertical="center"/>
    </xf>
    <xf numFmtId="0" fontId="14" fillId="0" borderId="7" xfId="0" applyFont="1" applyBorder="1" applyAlignment="1">
      <alignment horizontal="center" vertical="center" wrapText="1"/>
    </xf>
    <xf numFmtId="0" fontId="15" fillId="0" borderId="7" xfId="0" applyFont="1" applyBorder="1" applyAlignment="1">
      <alignment horizontal="center" vertical="center" wrapText="1"/>
    </xf>
    <xf numFmtId="0" fontId="15" fillId="0" borderId="7" xfId="0" applyFont="1" applyBorder="1" applyAlignment="1">
      <alignment horizontal="center" vertical="center"/>
    </xf>
    <xf numFmtId="0" fontId="16" fillId="0" borderId="7" xfId="0" applyFont="1" applyBorder="1" applyAlignment="1">
      <alignment horizontal="center" vertical="center" wrapText="1"/>
    </xf>
    <xf numFmtId="0" fontId="16" fillId="0" borderId="7" xfId="0" applyFont="1" applyBorder="1" applyAlignment="1">
      <alignment horizontal="center" vertical="center"/>
    </xf>
    <xf numFmtId="0" fontId="15" fillId="3" borderId="7" xfId="0" applyFont="1" applyFill="1" applyBorder="1" applyAlignment="1">
      <alignment horizontal="center" vertical="center" wrapText="1"/>
    </xf>
    <xf numFmtId="0" fontId="15" fillId="0" borderId="5" xfId="0" applyFont="1" applyBorder="1" applyAlignment="1">
      <alignment horizontal="center" vertical="center" wrapText="1"/>
    </xf>
    <xf numFmtId="0" fontId="15" fillId="0" borderId="0" xfId="0" applyFont="1" applyAlignment="1">
      <alignment horizontal="center" vertical="center" wrapText="1"/>
    </xf>
    <xf numFmtId="0" fontId="0" fillId="0" borderId="7" xfId="0" applyBorder="1">
      <alignment vertical="center"/>
    </xf>
    <xf numFmtId="22" fontId="0" fillId="0" borderId="7" xfId="0" applyNumberFormat="1" applyBorder="1" applyAlignment="1">
      <alignment horizontal="left" vertical="center"/>
    </xf>
    <xf numFmtId="0" fontId="0" fillId="3" borderId="7" xfId="0" applyFill="1" applyBorder="1">
      <alignment vertical="center"/>
    </xf>
    <xf numFmtId="0" fontId="0" fillId="9" borderId="7" xfId="0" applyFill="1" applyBorder="1">
      <alignment vertical="center"/>
    </xf>
    <xf numFmtId="0" fontId="17" fillId="0" borderId="7" xfId="0" applyFont="1" applyBorder="1" applyAlignment="1">
      <alignment vertical="center" wrapText="1"/>
    </xf>
    <xf numFmtId="0" fontId="11" fillId="0" borderId="7" xfId="0" applyFont="1" applyBorder="1">
      <alignment vertical="center"/>
    </xf>
    <xf numFmtId="0" fontId="18" fillId="0" borderId="7" xfId="0" applyFont="1" applyBorder="1">
      <alignment vertical="center"/>
    </xf>
    <xf numFmtId="0" fontId="19" fillId="0" borderId="7" xfId="0" applyFont="1" applyBorder="1" applyAlignment="1">
      <alignment horizontal="center" vertical="center" wrapText="1"/>
    </xf>
    <xf numFmtId="0" fontId="1" fillId="10" borderId="0" xfId="0" applyFont="1" applyFill="1" applyAlignment="1">
      <alignment vertical="center" wrapText="1"/>
    </xf>
    <xf numFmtId="0" fontId="1" fillId="10" borderId="28" xfId="0" applyFont="1" applyFill="1" applyBorder="1" applyAlignment="1">
      <alignment vertical="center" wrapText="1"/>
    </xf>
    <xf numFmtId="0" fontId="1" fillId="10" borderId="31" xfId="0" applyFont="1" applyFill="1" applyBorder="1" applyAlignment="1">
      <alignment vertical="center" wrapText="1"/>
    </xf>
    <xf numFmtId="0" fontId="1" fillId="10" borderId="38" xfId="0" applyFont="1" applyFill="1" applyBorder="1" applyAlignment="1">
      <alignment vertical="center" wrapText="1"/>
    </xf>
    <xf numFmtId="0" fontId="1" fillId="10" borderId="39" xfId="0" applyFont="1" applyFill="1" applyBorder="1" applyAlignment="1">
      <alignment vertical="center" wrapText="1"/>
    </xf>
    <xf numFmtId="0" fontId="1" fillId="10" borderId="25" xfId="0" applyFont="1" applyFill="1" applyBorder="1" applyAlignment="1">
      <alignment vertical="center" wrapText="1"/>
    </xf>
    <xf numFmtId="0" fontId="1" fillId="10" borderId="33" xfId="0" applyFont="1" applyFill="1" applyBorder="1" applyAlignment="1">
      <alignment vertical="center" wrapText="1"/>
    </xf>
    <xf numFmtId="0" fontId="4" fillId="10" borderId="0" xfId="0" applyFont="1" applyFill="1" applyAlignment="1">
      <alignment vertical="center" wrapText="1"/>
    </xf>
    <xf numFmtId="0" fontId="21" fillId="0" borderId="7" xfId="0" applyFont="1" applyBorder="1">
      <alignment vertical="center"/>
    </xf>
    <xf numFmtId="0" fontId="22" fillId="0" borderId="7" xfId="0" applyFont="1" applyBorder="1">
      <alignment vertical="center"/>
    </xf>
    <xf numFmtId="0" fontId="23" fillId="0" borderId="7" xfId="0" applyFont="1" applyBorder="1">
      <alignment vertical="center"/>
    </xf>
    <xf numFmtId="0" fontId="24" fillId="0" borderId="7" xfId="0" applyFont="1" applyBorder="1">
      <alignment vertical="center"/>
    </xf>
    <xf numFmtId="0" fontId="22" fillId="0" borderId="7" xfId="0" applyFont="1" applyBorder="1">
      <alignment vertical="center"/>
    </xf>
    <xf numFmtId="14" fontId="0" fillId="0" borderId="7" xfId="0" applyNumberFormat="1" applyBorder="1" applyAlignment="1">
      <alignment horizontal="center" vertical="center"/>
    </xf>
    <xf numFmtId="0" fontId="0" fillId="0" borderId="0" xfId="0" applyAlignment="1">
      <alignment vertical="center" wrapText="1"/>
    </xf>
    <xf numFmtId="0" fontId="10" fillId="5" borderId="5" xfId="0" applyFont="1" applyFill="1" applyBorder="1" applyAlignment="1">
      <alignment horizontal="center" vertical="center"/>
    </xf>
    <xf numFmtId="0" fontId="10" fillId="5" borderId="5" xfId="0" applyFont="1" applyFill="1" applyBorder="1" applyAlignment="1">
      <alignment horizontal="center" vertical="center" wrapText="1"/>
    </xf>
    <xf numFmtId="0" fontId="10" fillId="5" borderId="6" xfId="0" applyFont="1" applyFill="1" applyBorder="1" applyAlignment="1">
      <alignment horizontal="center" vertical="center"/>
    </xf>
    <xf numFmtId="14" fontId="10" fillId="2" borderId="5" xfId="0" applyNumberFormat="1" applyFont="1" applyFill="1" applyBorder="1" applyAlignment="1">
      <alignment horizontal="center" vertical="center"/>
    </xf>
    <xf numFmtId="0" fontId="0" fillId="0" borderId="2" xfId="0" applyBorder="1">
      <alignment vertical="center"/>
    </xf>
    <xf numFmtId="0" fontId="10" fillId="8" borderId="9" xfId="0" applyFont="1" applyFill="1" applyBorder="1" applyAlignment="1">
      <alignment horizontal="center" vertical="center" wrapText="1"/>
    </xf>
    <xf numFmtId="0" fontId="0" fillId="0" borderId="18" xfId="0" applyBorder="1">
      <alignment vertical="center"/>
    </xf>
    <xf numFmtId="0" fontId="0" fillId="0" borderId="16" xfId="0" applyBorder="1">
      <alignment vertical="center"/>
    </xf>
    <xf numFmtId="0" fontId="10" fillId="8" borderId="6" xfId="0" applyFont="1" applyFill="1" applyBorder="1" applyAlignment="1">
      <alignment horizontal="center" vertical="center" wrapText="1"/>
    </xf>
    <xf numFmtId="14" fontId="10" fillId="6" borderId="5" xfId="0" applyNumberFormat="1" applyFont="1" applyFill="1" applyBorder="1" applyAlignment="1">
      <alignment horizontal="center" vertical="center"/>
    </xf>
    <xf numFmtId="14" fontId="0" fillId="5" borderId="6" xfId="0" applyNumberFormat="1" applyFill="1" applyBorder="1">
      <alignment vertical="center"/>
    </xf>
    <xf numFmtId="14" fontId="10" fillId="6" borderId="7" xfId="0" applyNumberFormat="1" applyFont="1" applyFill="1" applyBorder="1" applyAlignment="1">
      <alignment horizontal="center" vertical="center"/>
    </xf>
    <xf numFmtId="0" fontId="0" fillId="0" borderId="7" xfId="0" applyBorder="1">
      <alignment vertical="center"/>
    </xf>
    <xf numFmtId="14" fontId="10" fillId="6" borderId="9" xfId="0" applyNumberFormat="1" applyFont="1" applyFill="1" applyBorder="1" applyAlignment="1">
      <alignment horizontal="center" vertical="center"/>
    </xf>
    <xf numFmtId="0" fontId="0" fillId="0" borderId="9" xfId="0" applyBorder="1">
      <alignment vertical="center"/>
    </xf>
    <xf numFmtId="0" fontId="0" fillId="0" borderId="10" xfId="0" applyBorder="1">
      <alignment vertical="center"/>
    </xf>
    <xf numFmtId="0" fontId="11" fillId="4" borderId="7" xfId="0" applyFont="1" applyFill="1" applyBorder="1">
      <alignment vertical="center"/>
    </xf>
    <xf numFmtId="14" fontId="10" fillId="6" borderId="8" xfId="0" applyNumberFormat="1" applyFont="1" applyFill="1" applyBorder="1" applyAlignment="1">
      <alignment horizontal="center" vertical="center"/>
    </xf>
    <xf numFmtId="0" fontId="0" fillId="0" borderId="12" xfId="0" applyBorder="1">
      <alignment vertical="center"/>
    </xf>
    <xf numFmtId="0" fontId="0" fillId="0" borderId="13" xfId="0" applyBorder="1">
      <alignment vertical="center"/>
    </xf>
    <xf numFmtId="14" fontId="0" fillId="5" borderId="5" xfId="0" applyNumberFormat="1" applyFill="1" applyBorder="1">
      <alignment vertical="center"/>
    </xf>
    <xf numFmtId="0" fontId="0" fillId="0" borderId="14" xfId="0" applyBorder="1">
      <alignment vertical="center"/>
    </xf>
    <xf numFmtId="0" fontId="0" fillId="0" borderId="11" xfId="0" applyBorder="1">
      <alignment vertical="center"/>
    </xf>
    <xf numFmtId="0" fontId="0" fillId="0" borderId="19" xfId="0" applyBorder="1">
      <alignment vertical="center"/>
    </xf>
    <xf numFmtId="0" fontId="0" fillId="0" borderId="20" xfId="0" applyBorder="1">
      <alignment vertical="center"/>
    </xf>
    <xf numFmtId="14" fontId="10" fillId="2" borderId="8" xfId="0" applyNumberFormat="1" applyFont="1" applyFill="1" applyBorder="1" applyAlignment="1">
      <alignment horizontal="center" vertical="center"/>
    </xf>
    <xf numFmtId="0" fontId="10" fillId="2" borderId="6" xfId="0" applyFont="1" applyFill="1" applyBorder="1" applyAlignment="1">
      <alignment horizontal="center" vertical="center"/>
    </xf>
    <xf numFmtId="14" fontId="10" fillId="4" borderId="3" xfId="0" applyNumberFormat="1" applyFont="1" applyFill="1" applyBorder="1" applyAlignment="1">
      <alignment horizontal="center" vertical="center"/>
    </xf>
    <xf numFmtId="0" fontId="0" fillId="0" borderId="3" xfId="0" applyBorder="1">
      <alignment vertical="center"/>
    </xf>
    <xf numFmtId="0" fontId="10" fillId="4" borderId="3" xfId="0" applyFont="1" applyFill="1" applyBorder="1" applyAlignment="1">
      <alignment horizontal="left" vertical="center" wrapText="1"/>
    </xf>
    <xf numFmtId="0" fontId="3" fillId="0" borderId="0" xfId="0" applyFont="1" applyAlignment="1">
      <alignment vertical="center" wrapText="1"/>
    </xf>
    <xf numFmtId="0" fontId="0" fillId="0" borderId="0" xfId="0">
      <alignment vertical="center"/>
    </xf>
    <xf numFmtId="0" fontId="2" fillId="0" borderId="1" xfId="0" applyFont="1" applyBorder="1" applyAlignment="1">
      <alignment vertical="center" wrapText="1"/>
    </xf>
    <xf numFmtId="0" fontId="20" fillId="10" borderId="27" xfId="0" applyFont="1" applyFill="1" applyBorder="1" applyAlignment="1">
      <alignment horizontal="center" vertical="center" wrapText="1"/>
    </xf>
    <xf numFmtId="0" fontId="0" fillId="0" borderId="27" xfId="0" applyBorder="1">
      <alignment vertical="center"/>
    </xf>
    <xf numFmtId="0" fontId="6" fillId="11" borderId="29" xfId="0" applyFont="1" applyFill="1" applyBorder="1" applyAlignment="1">
      <alignment vertical="center" wrapText="1"/>
    </xf>
    <xf numFmtId="0" fontId="0" fillId="0" borderId="29" xfId="0" applyBorder="1">
      <alignment vertical="center"/>
    </xf>
    <xf numFmtId="0" fontId="6" fillId="11" borderId="30" xfId="0" applyFont="1" applyFill="1" applyBorder="1" applyAlignment="1">
      <alignment vertical="center" wrapText="1"/>
    </xf>
    <xf numFmtId="0" fontId="0" fillId="0" borderId="30" xfId="0" applyBorder="1">
      <alignment vertical="center"/>
    </xf>
    <xf numFmtId="0" fontId="1" fillId="0" borderId="32" xfId="0" applyFont="1" applyBorder="1" applyAlignment="1">
      <alignment vertical="center" wrapText="1"/>
    </xf>
    <xf numFmtId="0" fontId="0" fillId="0" borderId="32" xfId="0" applyBorder="1">
      <alignment vertical="center"/>
    </xf>
    <xf numFmtId="0" fontId="1" fillId="0" borderId="33" xfId="0" applyFont="1" applyBorder="1" applyAlignment="1">
      <alignment vertical="center" wrapText="1"/>
    </xf>
    <xf numFmtId="0" fontId="0" fillId="0" borderId="33" xfId="0" applyBorder="1">
      <alignment vertical="center"/>
    </xf>
    <xf numFmtId="0" fontId="4" fillId="0" borderId="32" xfId="0" applyFont="1" applyBorder="1" applyAlignment="1">
      <alignment vertical="center" wrapText="1"/>
    </xf>
    <xf numFmtId="0" fontId="4" fillId="0" borderId="33" xfId="0" applyFont="1" applyBorder="1">
      <alignment vertical="center"/>
    </xf>
    <xf numFmtId="0" fontId="1" fillId="10" borderId="34" xfId="0" applyFont="1" applyFill="1" applyBorder="1" applyAlignment="1">
      <alignment vertical="center" wrapText="1"/>
    </xf>
    <xf numFmtId="0" fontId="0" fillId="0" borderId="34" xfId="0" applyBorder="1">
      <alignment vertical="center"/>
    </xf>
    <xf numFmtId="0" fontId="1" fillId="10" borderId="35" xfId="0" applyFont="1" applyFill="1" applyBorder="1" applyAlignment="1">
      <alignment vertical="center" wrapText="1"/>
    </xf>
    <xf numFmtId="0" fontId="0" fillId="0" borderId="35" xfId="0" applyBorder="1">
      <alignment vertical="center"/>
    </xf>
    <xf numFmtId="0" fontId="1" fillId="10" borderId="36" xfId="0" applyFont="1" applyFill="1" applyBorder="1" applyAlignment="1">
      <alignment vertical="center" wrapText="1"/>
    </xf>
    <xf numFmtId="0" fontId="0" fillId="0" borderId="36" xfId="0" applyBorder="1">
      <alignment vertical="center"/>
    </xf>
    <xf numFmtId="0" fontId="1" fillId="10" borderId="37" xfId="0" applyFont="1" applyFill="1" applyBorder="1" applyAlignment="1">
      <alignment vertical="center" wrapText="1"/>
    </xf>
    <xf numFmtId="0" fontId="0" fillId="0" borderId="37" xfId="0" applyBorder="1">
      <alignment vertical="center"/>
    </xf>
    <xf numFmtId="0" fontId="6" fillId="11" borderId="40" xfId="0" applyFont="1" applyFill="1" applyBorder="1" applyAlignment="1">
      <alignment vertical="center" wrapText="1"/>
    </xf>
    <xf numFmtId="0" fontId="0" fillId="0" borderId="40" xfId="0" applyBorder="1">
      <alignment vertical="center"/>
    </xf>
    <xf numFmtId="0" fontId="6" fillId="11" borderId="41" xfId="0" applyFont="1" applyFill="1" applyBorder="1" applyAlignment="1">
      <alignment vertical="center" wrapText="1"/>
    </xf>
    <xf numFmtId="0" fontId="0" fillId="0" borderId="41" xfId="0" applyBorder="1">
      <alignment vertical="center"/>
    </xf>
    <xf numFmtId="0" fontId="1" fillId="0" borderId="40" xfId="0" applyFont="1" applyBorder="1" applyAlignment="1">
      <alignment vertical="center" wrapText="1"/>
    </xf>
    <xf numFmtId="0" fontId="1" fillId="0" borderId="41" xfId="0" applyFont="1" applyBorder="1" applyAlignment="1">
      <alignment vertical="center" wrapText="1"/>
    </xf>
    <xf numFmtId="0" fontId="6" fillId="0" borderId="40" xfId="0" applyFont="1" applyBorder="1" applyAlignment="1">
      <alignment horizontal="center" vertical="center" wrapText="1"/>
    </xf>
    <xf numFmtId="0" fontId="6" fillId="0" borderId="41" xfId="0" applyFont="1" applyBorder="1" applyAlignment="1">
      <alignment horizontal="center" vertical="center" wrapText="1"/>
    </xf>
    <xf numFmtId="0" fontId="1" fillId="10" borderId="42" xfId="0" applyFont="1" applyFill="1" applyBorder="1" applyAlignment="1">
      <alignment vertical="center" wrapText="1"/>
    </xf>
    <xf numFmtId="0" fontId="0" fillId="0" borderId="42" xfId="0" applyBorder="1">
      <alignment vertical="center"/>
    </xf>
    <xf numFmtId="0" fontId="1" fillId="10" borderId="43" xfId="0" applyFont="1" applyFill="1" applyBorder="1" applyAlignment="1">
      <alignment vertical="center" wrapText="1"/>
    </xf>
    <xf numFmtId="0" fontId="0" fillId="0" borderId="43" xfId="0" applyBorder="1">
      <alignment vertical="center"/>
    </xf>
    <xf numFmtId="0" fontId="1" fillId="10" borderId="32" xfId="0" applyFont="1" applyFill="1" applyBorder="1" applyAlignment="1">
      <alignment vertical="center" wrapText="1"/>
    </xf>
    <xf numFmtId="0" fontId="1" fillId="10" borderId="33" xfId="0" applyFont="1" applyFill="1" applyBorder="1" applyAlignment="1">
      <alignment vertical="center" wrapText="1"/>
    </xf>
    <xf numFmtId="0" fontId="6" fillId="11" borderId="44" xfId="0" applyFont="1" applyFill="1" applyBorder="1" applyAlignment="1">
      <alignment vertical="center" wrapText="1"/>
    </xf>
    <xf numFmtId="0" fontId="0" fillId="0" borderId="44" xfId="0" applyBorder="1">
      <alignment vertical="center"/>
    </xf>
    <xf numFmtId="0" fontId="6" fillId="11" borderId="45" xfId="0" applyFont="1" applyFill="1" applyBorder="1" applyAlignment="1">
      <alignment vertical="center" wrapText="1"/>
    </xf>
    <xf numFmtId="0" fontId="0" fillId="0" borderId="45" xfId="0" applyBorder="1">
      <alignment vertical="center"/>
    </xf>
    <xf numFmtId="0" fontId="4" fillId="0" borderId="7" xfId="0" applyFont="1" applyBorder="1" applyAlignment="1">
      <alignment vertical="center" wrapText="1"/>
    </xf>
    <xf numFmtId="0" fontId="4" fillId="0" borderId="33" xfId="0" applyFont="1" applyBorder="1" applyAlignment="1">
      <alignment vertical="center" wrapText="1"/>
    </xf>
  </cellXfs>
  <cellStyles count="1">
    <cellStyle name="常规" xfId="0" builtinId="0"/>
  </cellStyles>
  <dxfs count="4">
    <dxf>
      <font>
        <color rgb="FFDE322C"/>
      </font>
      <fill>
        <patternFill>
          <bgColor rgb="FFFFE9E8"/>
        </patternFill>
      </fill>
    </dxf>
    <dxf>
      <font>
        <color rgb="FFDE322C"/>
      </font>
      <fill>
        <patternFill>
          <bgColor rgb="FFFFE9E8"/>
        </patternFill>
      </fill>
    </dxf>
    <dxf>
      <font>
        <color rgb="FFDE322C"/>
      </font>
      <fill>
        <patternFill>
          <bgColor rgb="FFFFE9E8"/>
        </patternFill>
      </fill>
    </dxf>
    <dxf>
      <font>
        <color rgb="FFDE322C"/>
      </font>
      <fill>
        <patternFill>
          <bgColor rgb="FFFFE9E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2217121</xdr:colOff>
      <xdr:row>129</xdr:row>
      <xdr:rowOff>0</xdr:rowOff>
    </xdr:from>
    <xdr:ext cx="471133" cy="285750"/>
    <xdr:pic>
      <xdr:nvPicPr>
        <xdr:cNvPr id="2" name="1">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r:link="rId1"/>
        <a:stretch>
          <a:fillRect/>
        </a:stretch>
      </xdr:blipFill>
      <xdr:spPr>
        <a:prstGeom prst="rect">
          <a:avLst/>
        </a:prstGeom>
      </xdr:spPr>
    </xdr:pic>
    <xdr:clientData/>
  </xdr:oneCellAnchor>
  <xdr:oneCellAnchor>
    <xdr:from>
      <xdr:col>3</xdr:col>
      <xdr:colOff>966366</xdr:colOff>
      <xdr:row>189</xdr:row>
      <xdr:rowOff>0</xdr:rowOff>
    </xdr:from>
    <xdr:ext cx="353268" cy="285750"/>
    <xdr:pic>
      <xdr:nvPicPr>
        <xdr:cNvPr id="3" name="2">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r:link="rId2"/>
        <a:stretch>
          <a:fillRect/>
        </a:stretch>
      </xdr:blipFill>
      <xdr:spPr>
        <a:prstGeom prst="rect">
          <a:avLst/>
        </a:prstGeom>
      </xdr:spPr>
    </xdr:pic>
    <xdr:clientData/>
  </xdr:oneCellAnchor>
  <xdr:oneCellAnchor>
    <xdr:from>
      <xdr:col>3</xdr:col>
      <xdr:colOff>990551</xdr:colOff>
      <xdr:row>207</xdr:row>
      <xdr:rowOff>0</xdr:rowOff>
    </xdr:from>
    <xdr:ext cx="304898" cy="285750"/>
    <xdr:pic>
      <xdr:nvPicPr>
        <xdr:cNvPr id="4" name="3">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r:link="rId3"/>
        <a:stretch>
          <a:fillRect/>
        </a:stretch>
      </xdr:blipFill>
      <xdr:spPr>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30005;&#21160;&#22320;&#29275;&#65307;&#30005;&#21160;&#25176;&#30424;&#36816;&#36755;&#36710;%20&#65288;&#38142;&#25509;&#65306;https:/zhuanlan.zhihu.com/p/479661319&#65289;"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30005;&#21160;&#22320;&#29275;&#65307;&#30005;&#21160;&#25176;&#30424;&#36816;&#36755;&#36710;%20&#65288;&#38142;&#25509;&#65306;https:/zhuanlan.zhihu.com/p/479661319&#65289;"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blog.csdn.net/weixin_38568503/article/details/1291839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学员分组-二次确认参加">
    <tabColor rgb="FFFFFFFF"/>
  </sheetPr>
  <dimension ref="A1:AF87"/>
  <sheetViews>
    <sheetView workbookViewId="0">
      <pane xSplit="3" ySplit="1" topLeftCell="D2" activePane="bottomRight" state="frozen"/>
      <selection pane="topRight"/>
      <selection pane="bottomLeft"/>
      <selection pane="bottomRight" activeCell="D2" sqref="D2"/>
    </sheetView>
  </sheetViews>
  <sheetFormatPr defaultRowHeight="14"/>
  <cols>
    <col min="1" max="1" width="12.90625" style="36" customWidth="1"/>
    <col min="2" max="2" width="20.6328125" style="34" customWidth="1"/>
    <col min="3" max="3" width="19.26953125" style="36" customWidth="1"/>
    <col min="4" max="4" width="12.08984375" style="36" customWidth="1"/>
    <col min="5" max="5" width="15.08984375" style="36" customWidth="1"/>
    <col min="6" max="6" width="25.81640625" style="36" customWidth="1"/>
    <col min="7" max="7" width="29" style="36" customWidth="1"/>
    <col min="8" max="10" width="19.26953125" style="36" customWidth="1"/>
    <col min="14" max="14" width="19.1796875" style="34" customWidth="1"/>
    <col min="17" max="17" width="37.6328125" style="34" customWidth="1"/>
    <col min="18" max="18" width="47.90625" style="34" customWidth="1"/>
    <col min="21" max="21" width="26.54296875" style="34" customWidth="1"/>
    <col min="22" max="22" width="22.08984375" style="34" customWidth="1"/>
    <col min="23" max="23" width="17.08984375" style="34" customWidth="1"/>
    <col min="24" max="24" width="37.36328125" style="34" customWidth="1"/>
    <col min="27" max="27" width="77" style="34" customWidth="1"/>
  </cols>
  <sheetData>
    <row r="1" spans="1:32" ht="13">
      <c r="A1" s="36" t="s">
        <v>245</v>
      </c>
      <c r="B1" s="112" t="s">
        <v>2871</v>
      </c>
      <c r="C1" s="36" t="s">
        <v>246</v>
      </c>
      <c r="D1" s="36" t="s">
        <v>247</v>
      </c>
      <c r="E1" s="36" t="s">
        <v>248</v>
      </c>
      <c r="F1" s="36" t="s">
        <v>250</v>
      </c>
      <c r="G1" s="36" t="s">
        <v>251</v>
      </c>
      <c r="H1" s="36" t="s">
        <v>252</v>
      </c>
      <c r="I1" s="36" t="s">
        <v>253</v>
      </c>
      <c r="J1" s="36" t="s">
        <v>2872</v>
      </c>
      <c r="K1" s="112" t="s">
        <v>2873</v>
      </c>
      <c r="L1" s="112" t="s">
        <v>2874</v>
      </c>
      <c r="M1" s="112" t="s">
        <v>2875</v>
      </c>
      <c r="N1" s="112" t="s">
        <v>2876</v>
      </c>
      <c r="O1" s="112" t="s">
        <v>2877</v>
      </c>
      <c r="P1" s="112" t="s">
        <v>2878</v>
      </c>
      <c r="Q1" s="112" t="s">
        <v>2879</v>
      </c>
      <c r="R1" s="112" t="s">
        <v>2880</v>
      </c>
      <c r="S1" s="112" t="s">
        <v>2881</v>
      </c>
      <c r="T1" s="112" t="s">
        <v>2882</v>
      </c>
      <c r="U1" s="112" t="s">
        <v>2883</v>
      </c>
      <c r="V1" s="112" t="s">
        <v>2884</v>
      </c>
      <c r="W1" s="112" t="s">
        <v>2885</v>
      </c>
      <c r="X1" s="112" t="s">
        <v>2886</v>
      </c>
      <c r="Y1" s="112" t="s">
        <v>2887</v>
      </c>
      <c r="Z1" s="112" t="s">
        <v>2888</v>
      </c>
      <c r="AA1" s="112" t="s">
        <v>2889</v>
      </c>
      <c r="AB1" s="112" t="s">
        <v>2890</v>
      </c>
    </row>
    <row r="2" spans="1:32" ht="13">
      <c r="A2" s="36">
        <v>1</v>
      </c>
      <c r="B2" s="112" t="s">
        <v>2891</v>
      </c>
      <c r="C2" s="37" t="s">
        <v>269</v>
      </c>
      <c r="D2" s="36">
        <v>1</v>
      </c>
      <c r="E2" s="38" t="s">
        <v>270</v>
      </c>
      <c r="F2" s="36" t="s">
        <v>272</v>
      </c>
      <c r="G2" s="36" t="s">
        <v>273</v>
      </c>
      <c r="H2" s="36" t="s">
        <v>274</v>
      </c>
      <c r="I2" s="36" t="s">
        <v>275</v>
      </c>
      <c r="J2" s="36" t="s">
        <v>2892</v>
      </c>
      <c r="K2" s="113">
        <v>45547.6652777778</v>
      </c>
      <c r="L2" s="112" t="s">
        <v>2870</v>
      </c>
      <c r="M2" s="112" t="s">
        <v>2893</v>
      </c>
      <c r="N2" s="112"/>
      <c r="O2" s="112" t="s">
        <v>2894</v>
      </c>
      <c r="P2" s="112"/>
      <c r="Q2" s="112" t="s">
        <v>2895</v>
      </c>
      <c r="R2" s="112" t="s">
        <v>2896</v>
      </c>
      <c r="S2" s="112" t="s">
        <v>2897</v>
      </c>
      <c r="T2" s="112" t="s">
        <v>2898</v>
      </c>
      <c r="U2" s="112" t="s">
        <v>2899</v>
      </c>
      <c r="V2" s="112" t="s">
        <v>2900</v>
      </c>
      <c r="W2" s="112"/>
      <c r="X2" s="112" t="s">
        <v>2901</v>
      </c>
      <c r="Y2" s="112" t="s">
        <v>2902</v>
      </c>
      <c r="Z2" s="112"/>
      <c r="AA2" s="112" t="s">
        <v>2903</v>
      </c>
      <c r="AB2" s="112" t="s">
        <v>2904</v>
      </c>
    </row>
    <row r="3" spans="1:32" ht="13">
      <c r="A3" s="36">
        <v>2</v>
      </c>
      <c r="B3" s="112" t="s">
        <v>278</v>
      </c>
      <c r="C3" s="37" t="s">
        <v>278</v>
      </c>
      <c r="D3" s="36">
        <v>1</v>
      </c>
      <c r="F3" s="36" t="s">
        <v>280</v>
      </c>
      <c r="G3" s="36" t="s">
        <v>281</v>
      </c>
      <c r="H3" s="36" t="s">
        <v>282</v>
      </c>
      <c r="I3" s="36" t="s">
        <v>275</v>
      </c>
      <c r="J3" s="36" t="s">
        <v>280</v>
      </c>
      <c r="K3" s="113">
        <v>45547.651388888902</v>
      </c>
      <c r="L3" s="112" t="s">
        <v>2870</v>
      </c>
      <c r="M3" s="112" t="s">
        <v>2893</v>
      </c>
      <c r="N3" s="112"/>
      <c r="O3" s="112" t="s">
        <v>2905</v>
      </c>
      <c r="P3" s="112"/>
      <c r="Q3" s="112" t="s">
        <v>2895</v>
      </c>
      <c r="R3" s="112" t="s">
        <v>2896</v>
      </c>
      <c r="S3" s="112" t="s">
        <v>2906</v>
      </c>
      <c r="T3" s="112" t="s">
        <v>2898</v>
      </c>
      <c r="U3" s="112" t="s">
        <v>2899</v>
      </c>
      <c r="V3" s="112" t="s">
        <v>2900</v>
      </c>
      <c r="W3" s="112"/>
      <c r="X3" s="112" t="s">
        <v>2907</v>
      </c>
      <c r="Y3" s="112" t="s">
        <v>2908</v>
      </c>
      <c r="Z3" s="112"/>
      <c r="AA3" s="112" t="s">
        <v>2909</v>
      </c>
      <c r="AB3" s="112" t="s">
        <v>2904</v>
      </c>
    </row>
    <row r="4" spans="1:32" ht="13">
      <c r="A4" s="36">
        <v>3</v>
      </c>
      <c r="B4" s="112" t="s">
        <v>2910</v>
      </c>
      <c r="C4" s="37" t="s">
        <v>283</v>
      </c>
      <c r="D4" s="36">
        <v>1</v>
      </c>
      <c r="F4" s="36" t="s">
        <v>280</v>
      </c>
      <c r="G4" s="36" t="s">
        <v>281</v>
      </c>
      <c r="H4" s="36" t="s">
        <v>282</v>
      </c>
      <c r="I4" s="36" t="s">
        <v>275</v>
      </c>
      <c r="J4" s="36" t="s">
        <v>280</v>
      </c>
      <c r="K4" s="113">
        <v>45547.652777777803</v>
      </c>
      <c r="L4" s="112" t="s">
        <v>2870</v>
      </c>
      <c r="M4" s="112" t="s">
        <v>2911</v>
      </c>
      <c r="N4" s="112"/>
      <c r="O4" s="112" t="s">
        <v>2905</v>
      </c>
      <c r="P4" s="112"/>
      <c r="Q4" s="112" t="s">
        <v>2912</v>
      </c>
      <c r="R4" s="112" t="s">
        <v>2896</v>
      </c>
      <c r="S4" s="112" t="s">
        <v>2913</v>
      </c>
      <c r="T4" s="112" t="s">
        <v>2914</v>
      </c>
      <c r="U4" s="112" t="s">
        <v>2915</v>
      </c>
      <c r="V4" s="112" t="s">
        <v>2916</v>
      </c>
      <c r="W4" s="112" t="s">
        <v>2917</v>
      </c>
      <c r="X4" s="112" t="s">
        <v>2918</v>
      </c>
      <c r="Y4" s="112" t="s">
        <v>2908</v>
      </c>
      <c r="Z4" s="112"/>
      <c r="AA4" s="112" t="s">
        <v>2919</v>
      </c>
      <c r="AB4" s="112" t="s">
        <v>2904</v>
      </c>
    </row>
    <row r="5" spans="1:32" ht="13">
      <c r="A5" s="36">
        <v>4</v>
      </c>
      <c r="B5" s="112" t="s">
        <v>2920</v>
      </c>
      <c r="C5" s="37" t="s">
        <v>285</v>
      </c>
      <c r="D5" s="36">
        <v>1</v>
      </c>
      <c r="F5" s="36" t="s">
        <v>286</v>
      </c>
      <c r="G5" s="36" t="s">
        <v>287</v>
      </c>
      <c r="H5" s="36" t="s">
        <v>288</v>
      </c>
      <c r="I5" s="36" t="s">
        <v>275</v>
      </c>
      <c r="J5" s="36" t="s">
        <v>2921</v>
      </c>
      <c r="K5" s="113">
        <v>45547.644444444501</v>
      </c>
      <c r="L5" s="112" t="s">
        <v>2870</v>
      </c>
      <c r="M5" s="112" t="s">
        <v>2893</v>
      </c>
      <c r="N5" s="112"/>
      <c r="O5" s="112" t="s">
        <v>2905</v>
      </c>
      <c r="P5" s="112"/>
      <c r="Q5" s="112" t="s">
        <v>2895</v>
      </c>
      <c r="R5" s="112" t="s">
        <v>2922</v>
      </c>
      <c r="S5" s="112" t="s">
        <v>2897</v>
      </c>
      <c r="T5" s="112" t="s">
        <v>2914</v>
      </c>
      <c r="U5" s="112" t="s">
        <v>2899</v>
      </c>
      <c r="V5" s="112" t="s">
        <v>2923</v>
      </c>
      <c r="W5" s="112"/>
      <c r="X5" s="112" t="s">
        <v>2900</v>
      </c>
      <c r="Y5" s="112" t="s">
        <v>2902</v>
      </c>
      <c r="Z5" s="112"/>
      <c r="AA5" s="112" t="s">
        <v>2924</v>
      </c>
      <c r="AB5" s="112" t="s">
        <v>2904</v>
      </c>
    </row>
    <row r="6" spans="1:32" ht="13">
      <c r="A6" s="36">
        <v>5</v>
      </c>
      <c r="B6" s="112" t="s">
        <v>2925</v>
      </c>
      <c r="C6" s="37" t="s">
        <v>289</v>
      </c>
      <c r="D6" s="36">
        <v>1</v>
      </c>
      <c r="F6" s="36" t="s">
        <v>286</v>
      </c>
      <c r="G6" s="36" t="s">
        <v>287</v>
      </c>
      <c r="H6" s="36" t="s">
        <v>291</v>
      </c>
      <c r="I6" s="36" t="s">
        <v>275</v>
      </c>
      <c r="J6" s="36" t="s">
        <v>2921</v>
      </c>
      <c r="K6" s="113">
        <v>45547.644444444501</v>
      </c>
      <c r="L6" s="112" t="s">
        <v>2870</v>
      </c>
      <c r="M6" s="112" t="s">
        <v>2911</v>
      </c>
      <c r="N6" s="112"/>
      <c r="O6" s="112" t="s">
        <v>2905</v>
      </c>
      <c r="P6" s="112"/>
      <c r="Q6" s="112" t="s">
        <v>2895</v>
      </c>
      <c r="R6" s="112" t="s">
        <v>2896</v>
      </c>
      <c r="S6" s="112" t="s">
        <v>2926</v>
      </c>
      <c r="T6" s="112" t="s">
        <v>2927</v>
      </c>
      <c r="U6" s="112" t="s">
        <v>2928</v>
      </c>
      <c r="V6" s="112" t="s">
        <v>2923</v>
      </c>
      <c r="W6" s="112"/>
      <c r="X6" s="112" t="s">
        <v>2929</v>
      </c>
      <c r="Y6" s="112" t="s">
        <v>2908</v>
      </c>
      <c r="Z6" s="112"/>
      <c r="AA6" s="112" t="s">
        <v>2918</v>
      </c>
      <c r="AB6" s="112" t="s">
        <v>2904</v>
      </c>
    </row>
    <row r="7" spans="1:32" ht="13">
      <c r="A7" s="36">
        <v>6</v>
      </c>
      <c r="B7" s="112" t="s">
        <v>2930</v>
      </c>
      <c r="C7" s="37" t="s">
        <v>293</v>
      </c>
      <c r="D7" s="36">
        <v>1</v>
      </c>
      <c r="F7" s="36" t="s">
        <v>286</v>
      </c>
      <c r="G7" s="36" t="s">
        <v>287</v>
      </c>
      <c r="H7" s="36" t="s">
        <v>291</v>
      </c>
      <c r="I7" s="36" t="s">
        <v>295</v>
      </c>
      <c r="J7" s="36" t="s">
        <v>2921</v>
      </c>
      <c r="K7" s="113">
        <v>45548.426388888904</v>
      </c>
      <c r="L7" s="112" t="s">
        <v>2870</v>
      </c>
      <c r="M7" s="112" t="s">
        <v>2893</v>
      </c>
      <c r="N7" s="112"/>
      <c r="O7" s="112" t="s">
        <v>2905</v>
      </c>
      <c r="P7" s="112"/>
      <c r="Q7" s="112" t="s">
        <v>2912</v>
      </c>
      <c r="R7" s="112" t="s">
        <v>2922</v>
      </c>
      <c r="S7" s="112" t="s">
        <v>2913</v>
      </c>
      <c r="T7" s="112" t="s">
        <v>2927</v>
      </c>
      <c r="U7" s="112" t="s">
        <v>2899</v>
      </c>
      <c r="V7" s="112" t="s">
        <v>2900</v>
      </c>
      <c r="W7" s="112"/>
      <c r="X7" s="112" t="s">
        <v>2903</v>
      </c>
      <c r="Y7" s="112" t="s">
        <v>2908</v>
      </c>
      <c r="Z7" s="112"/>
      <c r="AA7" s="112" t="s">
        <v>2903</v>
      </c>
      <c r="AB7" s="112" t="s">
        <v>2904</v>
      </c>
    </row>
    <row r="8" spans="1:32" ht="13">
      <c r="A8" s="36">
        <v>7</v>
      </c>
      <c r="B8" s="114" t="s">
        <v>296</v>
      </c>
      <c r="C8" s="37" t="s">
        <v>296</v>
      </c>
      <c r="D8" s="36">
        <v>1</v>
      </c>
      <c r="F8" s="36" t="s">
        <v>286</v>
      </c>
      <c r="G8" s="36" t="s">
        <v>287</v>
      </c>
      <c r="H8" s="36" t="s">
        <v>291</v>
      </c>
      <c r="I8" s="103" t="s">
        <v>297</v>
      </c>
      <c r="J8" s="36" t="s">
        <v>2921</v>
      </c>
      <c r="K8" s="113"/>
      <c r="L8" s="112"/>
      <c r="M8" s="112"/>
      <c r="N8" s="112"/>
      <c r="O8" s="112"/>
      <c r="P8" s="112"/>
      <c r="Q8" s="112"/>
      <c r="R8" s="112"/>
      <c r="S8" s="112"/>
      <c r="T8" s="112"/>
      <c r="U8" s="112"/>
      <c r="V8" s="112"/>
      <c r="W8" s="112"/>
      <c r="X8" s="112"/>
      <c r="Y8" s="112"/>
      <c r="Z8" s="112"/>
      <c r="AA8" s="112"/>
      <c r="AB8" s="112"/>
    </row>
    <row r="9" spans="1:32" ht="13">
      <c r="A9" s="36">
        <v>8</v>
      </c>
      <c r="B9" s="112" t="s">
        <v>2931</v>
      </c>
      <c r="C9" s="37" t="s">
        <v>2932</v>
      </c>
      <c r="D9" s="36">
        <v>1</v>
      </c>
      <c r="F9" s="36" t="s">
        <v>286</v>
      </c>
      <c r="G9" s="36" t="s">
        <v>2933</v>
      </c>
      <c r="H9" s="36" t="s">
        <v>2934</v>
      </c>
      <c r="I9" s="36" t="s">
        <v>307</v>
      </c>
      <c r="J9" s="36" t="s">
        <v>2935</v>
      </c>
      <c r="K9" s="113">
        <v>45547.681944444499</v>
      </c>
      <c r="L9" s="112" t="s">
        <v>2870</v>
      </c>
      <c r="M9" s="112" t="s">
        <v>2936</v>
      </c>
      <c r="N9" s="112"/>
      <c r="O9" s="112" t="s">
        <v>2903</v>
      </c>
      <c r="P9" s="112"/>
      <c r="Q9" s="112" t="s">
        <v>2895</v>
      </c>
      <c r="R9" s="112" t="s">
        <v>2922</v>
      </c>
      <c r="S9" s="112" t="s">
        <v>2913</v>
      </c>
      <c r="T9" s="112" t="s">
        <v>2914</v>
      </c>
      <c r="U9" s="112" t="s">
        <v>2899</v>
      </c>
      <c r="V9" s="112" t="s">
        <v>3</v>
      </c>
      <c r="W9" s="112" t="s">
        <v>2918</v>
      </c>
      <c r="X9" s="112" t="s">
        <v>2918</v>
      </c>
      <c r="Y9" s="112" t="s">
        <v>2937</v>
      </c>
      <c r="Z9" s="112"/>
      <c r="AA9" s="112" t="s">
        <v>2938</v>
      </c>
      <c r="AB9" s="112" t="s">
        <v>2904</v>
      </c>
    </row>
    <row r="10" spans="1:32" ht="13">
      <c r="A10" s="36">
        <v>9</v>
      </c>
      <c r="B10" s="112" t="s">
        <v>2939</v>
      </c>
      <c r="C10" s="52" t="s">
        <v>298</v>
      </c>
      <c r="D10" s="36">
        <v>2</v>
      </c>
      <c r="E10" s="38" t="s">
        <v>270</v>
      </c>
      <c r="F10" s="36" t="s">
        <v>299</v>
      </c>
      <c r="G10" s="36" t="s">
        <v>300</v>
      </c>
      <c r="H10" s="36" t="s">
        <v>301</v>
      </c>
      <c r="I10" s="36" t="s">
        <v>302</v>
      </c>
      <c r="J10" s="36" t="s">
        <v>2940</v>
      </c>
      <c r="K10" s="113">
        <v>45547.731944444502</v>
      </c>
      <c r="L10" s="112" t="s">
        <v>2870</v>
      </c>
      <c r="M10" s="112" t="s">
        <v>2893</v>
      </c>
      <c r="N10" s="112"/>
      <c r="O10" s="112" t="s">
        <v>2894</v>
      </c>
      <c r="P10" s="112"/>
      <c r="Q10" s="112" t="s">
        <v>2895</v>
      </c>
      <c r="R10" s="112" t="s">
        <v>2922</v>
      </c>
      <c r="S10" s="112" t="s">
        <v>2897</v>
      </c>
      <c r="T10" s="112" t="s">
        <v>2914</v>
      </c>
      <c r="U10" s="112" t="s">
        <v>2941</v>
      </c>
      <c r="V10" s="112" t="s">
        <v>2923</v>
      </c>
      <c r="W10" s="112"/>
      <c r="X10" s="112" t="s">
        <v>2903</v>
      </c>
      <c r="Y10" s="112" t="s">
        <v>2942</v>
      </c>
      <c r="Z10" s="112"/>
      <c r="AA10" s="112" t="s">
        <v>2903</v>
      </c>
      <c r="AB10" s="112" t="s">
        <v>2904</v>
      </c>
      <c r="AC10" s="34"/>
      <c r="AD10" s="34"/>
      <c r="AE10" s="34"/>
      <c r="AF10" s="34"/>
    </row>
    <row r="11" spans="1:32" ht="13">
      <c r="A11" s="36">
        <v>10</v>
      </c>
      <c r="B11" s="112" t="s">
        <v>303</v>
      </c>
      <c r="C11" s="53" t="s">
        <v>303</v>
      </c>
      <c r="D11" s="36">
        <v>2</v>
      </c>
      <c r="F11" s="36" t="s">
        <v>304</v>
      </c>
      <c r="G11" s="36" t="s">
        <v>305</v>
      </c>
      <c r="H11" s="36" t="s">
        <v>306</v>
      </c>
      <c r="I11" s="36" t="s">
        <v>307</v>
      </c>
      <c r="J11" s="36" t="s">
        <v>305</v>
      </c>
      <c r="K11" s="113">
        <v>45547.649305555598</v>
      </c>
      <c r="L11" s="112" t="s">
        <v>2870</v>
      </c>
      <c r="M11" s="112" t="s">
        <v>2911</v>
      </c>
      <c r="N11" s="112"/>
      <c r="O11" s="112" t="s">
        <v>2903</v>
      </c>
      <c r="P11" s="112"/>
      <c r="Q11" s="112" t="s">
        <v>2912</v>
      </c>
      <c r="R11" s="112" t="s">
        <v>2922</v>
      </c>
      <c r="S11" s="112" t="s">
        <v>2906</v>
      </c>
      <c r="T11" s="112" t="s">
        <v>2898</v>
      </c>
      <c r="U11" s="112" t="s">
        <v>2943</v>
      </c>
      <c r="V11" s="112" t="s">
        <v>2944</v>
      </c>
      <c r="W11" s="112"/>
      <c r="X11" s="112" t="s">
        <v>2945</v>
      </c>
      <c r="Y11" s="112" t="s">
        <v>2902</v>
      </c>
      <c r="Z11" s="112"/>
      <c r="AA11" s="112" t="s">
        <v>2903</v>
      </c>
      <c r="AB11" s="112" t="s">
        <v>2904</v>
      </c>
    </row>
    <row r="12" spans="1:32" ht="25.5" customHeight="1">
      <c r="A12" s="36">
        <v>11</v>
      </c>
      <c r="B12" s="112" t="s">
        <v>308</v>
      </c>
      <c r="C12" s="38" t="s">
        <v>308</v>
      </c>
      <c r="D12" s="36">
        <v>2</v>
      </c>
      <c r="F12" s="36" t="s">
        <v>304</v>
      </c>
      <c r="G12" s="36" t="s">
        <v>305</v>
      </c>
      <c r="H12" s="36" t="s">
        <v>310</v>
      </c>
      <c r="I12" s="36" t="s">
        <v>311</v>
      </c>
      <c r="J12" s="36" t="s">
        <v>305</v>
      </c>
      <c r="K12" s="113">
        <v>45547.90625</v>
      </c>
      <c r="L12" s="112" t="s">
        <v>2870</v>
      </c>
      <c r="M12" s="112" t="s">
        <v>2893</v>
      </c>
      <c r="N12" s="112"/>
      <c r="O12" s="112" t="s">
        <v>2903</v>
      </c>
      <c r="P12" s="112"/>
      <c r="Q12" s="112" t="s">
        <v>2912</v>
      </c>
      <c r="R12" s="112" t="s">
        <v>2946</v>
      </c>
      <c r="S12" s="112" t="s">
        <v>2906</v>
      </c>
      <c r="T12" s="112" t="s">
        <v>2898</v>
      </c>
      <c r="U12" s="112" t="s">
        <v>2947</v>
      </c>
      <c r="V12" s="112" t="s">
        <v>3</v>
      </c>
      <c r="W12" s="112" t="s">
        <v>2903</v>
      </c>
      <c r="X12" s="112" t="s">
        <v>2901</v>
      </c>
      <c r="Y12" s="112" t="s">
        <v>2948</v>
      </c>
      <c r="Z12" s="112"/>
      <c r="AA12" s="112" t="s">
        <v>2918</v>
      </c>
      <c r="AB12" s="112" t="s">
        <v>2904</v>
      </c>
    </row>
    <row r="13" spans="1:32" ht="13">
      <c r="A13" s="36">
        <v>12</v>
      </c>
      <c r="B13" s="112" t="s">
        <v>312</v>
      </c>
      <c r="C13" s="38" t="s">
        <v>312</v>
      </c>
      <c r="D13" s="36">
        <v>2</v>
      </c>
      <c r="F13" s="36" t="s">
        <v>304</v>
      </c>
      <c r="G13" s="36" t="s">
        <v>305</v>
      </c>
      <c r="H13" s="36" t="s">
        <v>313</v>
      </c>
      <c r="I13" s="36" t="s">
        <v>275</v>
      </c>
      <c r="J13" s="36" t="s">
        <v>305</v>
      </c>
      <c r="K13" s="113">
        <v>45547.65</v>
      </c>
      <c r="L13" s="112" t="s">
        <v>2870</v>
      </c>
      <c r="M13" s="112" t="s">
        <v>2911</v>
      </c>
      <c r="N13" s="112"/>
      <c r="O13" s="112" t="s">
        <v>2905</v>
      </c>
      <c r="P13" s="112"/>
      <c r="Q13" s="112" t="s">
        <v>2895</v>
      </c>
      <c r="R13" s="112" t="s">
        <v>2896</v>
      </c>
      <c r="S13" s="112" t="s">
        <v>2897</v>
      </c>
      <c r="T13" s="112" t="s">
        <v>2898</v>
      </c>
      <c r="U13" s="112" t="s">
        <v>2943</v>
      </c>
      <c r="V13" s="112" t="s">
        <v>3</v>
      </c>
      <c r="W13" s="112" t="s">
        <v>2949</v>
      </c>
      <c r="X13" s="112" t="s">
        <v>2950</v>
      </c>
      <c r="Y13" s="112" t="s">
        <v>2951</v>
      </c>
      <c r="Z13" s="112"/>
      <c r="AA13" s="112" t="s">
        <v>2952</v>
      </c>
      <c r="AB13" s="112" t="s">
        <v>2904</v>
      </c>
    </row>
    <row r="14" spans="1:32" ht="13">
      <c r="A14" s="36">
        <v>13</v>
      </c>
      <c r="B14" s="112" t="s">
        <v>2953</v>
      </c>
      <c r="C14" s="38" t="s">
        <v>315</v>
      </c>
      <c r="D14" s="36">
        <v>2</v>
      </c>
      <c r="F14" s="36" t="s">
        <v>304</v>
      </c>
      <c r="G14" s="36" t="s">
        <v>305</v>
      </c>
      <c r="H14" s="36" t="s">
        <v>316</v>
      </c>
      <c r="I14" s="36" t="s">
        <v>275</v>
      </c>
      <c r="J14" s="36" t="s">
        <v>305</v>
      </c>
      <c r="K14" s="113">
        <v>45547.652083333298</v>
      </c>
      <c r="L14" s="112" t="s">
        <v>2870</v>
      </c>
      <c r="M14" s="112" t="s">
        <v>2893</v>
      </c>
      <c r="N14" s="112"/>
      <c r="O14" s="112" t="s">
        <v>2894</v>
      </c>
      <c r="P14" s="112" t="s">
        <v>2954</v>
      </c>
      <c r="Q14" s="112" t="s">
        <v>2912</v>
      </c>
      <c r="R14" s="112" t="s">
        <v>2922</v>
      </c>
      <c r="S14" s="112" t="s">
        <v>2897</v>
      </c>
      <c r="T14" s="112" t="s">
        <v>2898</v>
      </c>
      <c r="U14" s="112" t="s">
        <v>2899</v>
      </c>
      <c r="V14" s="112" t="s">
        <v>2900</v>
      </c>
      <c r="W14" s="112"/>
      <c r="X14" s="112" t="s">
        <v>2955</v>
      </c>
      <c r="Y14" s="112" t="s">
        <v>2951</v>
      </c>
      <c r="Z14" s="112"/>
      <c r="AA14" s="112" t="s">
        <v>2903</v>
      </c>
      <c r="AB14" s="112" t="s">
        <v>2904</v>
      </c>
    </row>
    <row r="15" spans="1:32" ht="13">
      <c r="A15" s="36">
        <v>14</v>
      </c>
      <c r="B15" s="112" t="s">
        <v>2956</v>
      </c>
      <c r="C15" s="38" t="s">
        <v>317</v>
      </c>
      <c r="D15" s="36">
        <v>2</v>
      </c>
      <c r="F15" s="36" t="s">
        <v>304</v>
      </c>
      <c r="G15" s="36" t="s">
        <v>319</v>
      </c>
      <c r="H15" s="36" t="s">
        <v>306</v>
      </c>
      <c r="I15" s="36" t="s">
        <v>275</v>
      </c>
      <c r="J15" s="36" t="s">
        <v>319</v>
      </c>
      <c r="K15" s="113">
        <v>45547.648611111101</v>
      </c>
      <c r="L15" s="112" t="s">
        <v>2870</v>
      </c>
      <c r="M15" s="112" t="s">
        <v>2893</v>
      </c>
      <c r="N15" s="112"/>
      <c r="O15" s="112" t="s">
        <v>2905</v>
      </c>
      <c r="P15" s="112"/>
      <c r="Q15" s="112" t="s">
        <v>2895</v>
      </c>
      <c r="R15" s="112" t="s">
        <v>2896</v>
      </c>
      <c r="S15" s="112" t="s">
        <v>2913</v>
      </c>
      <c r="T15" s="112" t="s">
        <v>2914</v>
      </c>
      <c r="U15" s="112" t="s">
        <v>2957</v>
      </c>
      <c r="V15" s="112" t="s">
        <v>2923</v>
      </c>
      <c r="W15" s="112"/>
      <c r="X15" s="112" t="s">
        <v>2903</v>
      </c>
      <c r="Y15" s="112" t="s">
        <v>2958</v>
      </c>
      <c r="Z15" s="112"/>
      <c r="AA15" s="112" t="s">
        <v>2959</v>
      </c>
      <c r="AB15" s="112" t="s">
        <v>2904</v>
      </c>
    </row>
    <row r="16" spans="1:32" ht="13">
      <c r="A16" s="36">
        <v>15</v>
      </c>
      <c r="B16" s="112" t="s">
        <v>2960</v>
      </c>
      <c r="C16" s="38" t="s">
        <v>321</v>
      </c>
      <c r="D16" s="36">
        <v>2</v>
      </c>
      <c r="F16" s="36" t="s">
        <v>304</v>
      </c>
      <c r="G16" s="36" t="s">
        <v>319</v>
      </c>
      <c r="H16" s="36" t="s">
        <v>310</v>
      </c>
      <c r="I16" s="36" t="s">
        <v>302</v>
      </c>
      <c r="J16" s="36" t="s">
        <v>319</v>
      </c>
      <c r="K16" s="113">
        <v>45547.690277777801</v>
      </c>
      <c r="L16" s="112" t="s">
        <v>2870</v>
      </c>
      <c r="M16" s="112" t="s">
        <v>2961</v>
      </c>
      <c r="N16" s="112" t="s">
        <v>2962</v>
      </c>
      <c r="O16" s="112" t="s">
        <v>2903</v>
      </c>
      <c r="P16" s="112"/>
      <c r="Q16" s="112" t="s">
        <v>2895</v>
      </c>
      <c r="R16" s="112" t="s">
        <v>2922</v>
      </c>
      <c r="S16" s="112" t="s">
        <v>2897</v>
      </c>
      <c r="T16" s="112" t="s">
        <v>2898</v>
      </c>
      <c r="U16" s="112" t="s">
        <v>2899</v>
      </c>
      <c r="V16" s="112" t="s">
        <v>2901</v>
      </c>
      <c r="W16" s="112"/>
      <c r="X16" s="112" t="s">
        <v>2963</v>
      </c>
      <c r="Y16" s="112" t="s">
        <v>2942</v>
      </c>
      <c r="Z16" s="112"/>
      <c r="AA16" s="112" t="s">
        <v>2964</v>
      </c>
      <c r="AB16" s="112" t="s">
        <v>2904</v>
      </c>
    </row>
    <row r="17" spans="1:32" ht="13">
      <c r="A17" s="36">
        <v>16</v>
      </c>
      <c r="B17" s="112" t="s">
        <v>322</v>
      </c>
      <c r="C17" s="38" t="s">
        <v>322</v>
      </c>
      <c r="D17" s="36">
        <v>2</v>
      </c>
      <c r="F17" s="36" t="s">
        <v>304</v>
      </c>
      <c r="G17" s="36" t="s">
        <v>319</v>
      </c>
      <c r="H17" s="36" t="s">
        <v>310</v>
      </c>
      <c r="I17" s="36" t="s">
        <v>311</v>
      </c>
      <c r="J17" s="36" t="s">
        <v>319</v>
      </c>
      <c r="K17" s="113">
        <v>45547.95</v>
      </c>
      <c r="L17" s="112" t="s">
        <v>2870</v>
      </c>
      <c r="M17" s="112" t="s">
        <v>2893</v>
      </c>
      <c r="N17" s="112"/>
      <c r="O17" s="112" t="s">
        <v>2903</v>
      </c>
      <c r="P17" s="112"/>
      <c r="Q17" s="112" t="s">
        <v>2895</v>
      </c>
      <c r="R17" s="112" t="s">
        <v>2922</v>
      </c>
      <c r="S17" s="112" t="s">
        <v>2897</v>
      </c>
      <c r="T17" s="112" t="s">
        <v>2898</v>
      </c>
      <c r="U17" s="112" t="s">
        <v>2957</v>
      </c>
      <c r="V17" s="112" t="s">
        <v>2900</v>
      </c>
      <c r="W17" s="112"/>
      <c r="X17" s="112" t="s">
        <v>2903</v>
      </c>
      <c r="Y17" s="112" t="s">
        <v>2965</v>
      </c>
      <c r="Z17" s="112"/>
      <c r="AA17" s="112" t="s">
        <v>2966</v>
      </c>
      <c r="AB17" s="112" t="s">
        <v>2904</v>
      </c>
    </row>
    <row r="18" spans="1:32" ht="13">
      <c r="A18" s="36">
        <v>17</v>
      </c>
      <c r="B18" s="112" t="s">
        <v>2967</v>
      </c>
      <c r="C18" s="38" t="s">
        <v>323</v>
      </c>
      <c r="D18" s="36">
        <v>2</v>
      </c>
      <c r="F18" s="36" t="s">
        <v>304</v>
      </c>
      <c r="G18" s="36" t="s">
        <v>319</v>
      </c>
      <c r="H18" s="36" t="s">
        <v>324</v>
      </c>
      <c r="I18" s="36" t="s">
        <v>297</v>
      </c>
      <c r="J18" s="36" t="s">
        <v>319</v>
      </c>
      <c r="K18" s="113">
        <v>45547.734722222202</v>
      </c>
      <c r="L18" s="112" t="s">
        <v>2870</v>
      </c>
      <c r="M18" s="112" t="s">
        <v>2911</v>
      </c>
      <c r="N18" s="112"/>
      <c r="O18" s="112" t="s">
        <v>2905</v>
      </c>
      <c r="P18" s="112"/>
      <c r="Q18" s="112" t="s">
        <v>2895</v>
      </c>
      <c r="R18" s="112" t="s">
        <v>2922</v>
      </c>
      <c r="S18" s="112" t="s">
        <v>2906</v>
      </c>
      <c r="T18" s="112" t="s">
        <v>2898</v>
      </c>
      <c r="U18" s="112" t="s">
        <v>2899</v>
      </c>
      <c r="V18" s="112" t="s">
        <v>3</v>
      </c>
      <c r="W18" s="112" t="s">
        <v>2968</v>
      </c>
      <c r="X18" s="112" t="s">
        <v>2968</v>
      </c>
      <c r="Y18" s="112" t="s">
        <v>2951</v>
      </c>
      <c r="Z18" s="112"/>
      <c r="AA18" s="112" t="s">
        <v>2969</v>
      </c>
      <c r="AB18" s="112" t="s">
        <v>2904</v>
      </c>
    </row>
    <row r="19" spans="1:32" ht="13">
      <c r="A19" s="36">
        <v>18</v>
      </c>
      <c r="B19" s="112" t="s">
        <v>2970</v>
      </c>
      <c r="C19" s="38" t="s">
        <v>2971</v>
      </c>
      <c r="D19" s="36">
        <v>2</v>
      </c>
      <c r="F19" s="36" t="s">
        <v>304</v>
      </c>
      <c r="G19" s="36" t="s">
        <v>319</v>
      </c>
      <c r="H19" s="36" t="s">
        <v>326</v>
      </c>
      <c r="I19" s="36" t="s">
        <v>307</v>
      </c>
      <c r="J19" s="36" t="s">
        <v>319</v>
      </c>
      <c r="K19" s="113">
        <v>45549.365277777797</v>
      </c>
      <c r="L19" s="112" t="s">
        <v>2870</v>
      </c>
      <c r="M19" s="112" t="s">
        <v>2893</v>
      </c>
      <c r="N19" s="112"/>
      <c r="O19" s="112" t="s">
        <v>2905</v>
      </c>
      <c r="P19" s="112"/>
      <c r="Q19" s="115" t="s">
        <v>2972</v>
      </c>
      <c r="R19" s="112" t="s">
        <v>2896</v>
      </c>
      <c r="S19" s="112" t="s">
        <v>2897</v>
      </c>
      <c r="T19" s="112" t="s">
        <v>2914</v>
      </c>
      <c r="U19" s="112" t="s">
        <v>2947</v>
      </c>
      <c r="V19" s="112" t="s">
        <v>2901</v>
      </c>
      <c r="W19" s="112"/>
      <c r="X19" s="112" t="s">
        <v>2901</v>
      </c>
      <c r="Y19" s="112" t="s">
        <v>2908</v>
      </c>
      <c r="Z19" s="112"/>
      <c r="AA19" s="112" t="s">
        <v>2918</v>
      </c>
      <c r="AB19" s="112" t="s">
        <v>2904</v>
      </c>
    </row>
    <row r="20" spans="1:32" ht="39">
      <c r="A20" s="36">
        <v>19</v>
      </c>
      <c r="B20" s="112" t="s">
        <v>2973</v>
      </c>
      <c r="C20" s="38" t="s">
        <v>325</v>
      </c>
      <c r="D20" s="36">
        <v>2</v>
      </c>
      <c r="F20" s="36" t="s">
        <v>304</v>
      </c>
      <c r="G20" s="36" t="s">
        <v>319</v>
      </c>
      <c r="H20" s="36" t="s">
        <v>326</v>
      </c>
      <c r="I20" s="36" t="s">
        <v>302</v>
      </c>
      <c r="J20" s="36" t="s">
        <v>319</v>
      </c>
      <c r="K20" s="113">
        <v>45548.366666666698</v>
      </c>
      <c r="L20" s="112" t="s">
        <v>2870</v>
      </c>
      <c r="M20" s="112" t="s">
        <v>2911</v>
      </c>
      <c r="N20" s="112"/>
      <c r="O20" s="112" t="s">
        <v>2905</v>
      </c>
      <c r="P20" s="112"/>
      <c r="Q20" s="112" t="s">
        <v>2912</v>
      </c>
      <c r="R20" s="112" t="s">
        <v>2896</v>
      </c>
      <c r="S20" s="112" t="s">
        <v>2897</v>
      </c>
      <c r="T20" s="112" t="s">
        <v>2898</v>
      </c>
      <c r="U20" s="112" t="s">
        <v>2974</v>
      </c>
      <c r="V20" s="112" t="s">
        <v>2901</v>
      </c>
      <c r="W20" s="112"/>
      <c r="X20" s="112" t="s">
        <v>2901</v>
      </c>
      <c r="Y20" s="112" t="s">
        <v>2908</v>
      </c>
      <c r="Z20" s="112"/>
      <c r="AA20" s="116" t="s">
        <v>2975</v>
      </c>
      <c r="AB20" s="112" t="s">
        <v>2904</v>
      </c>
    </row>
    <row r="21" spans="1:32" ht="13">
      <c r="A21" s="36">
        <v>20</v>
      </c>
      <c r="B21" s="112" t="s">
        <v>2976</v>
      </c>
      <c r="C21" s="38" t="s">
        <v>327</v>
      </c>
      <c r="D21" s="36">
        <v>2</v>
      </c>
      <c r="F21" s="36" t="s">
        <v>304</v>
      </c>
      <c r="G21" s="36" t="s">
        <v>305</v>
      </c>
      <c r="H21" s="36" t="s">
        <v>326</v>
      </c>
      <c r="I21" s="36" t="s">
        <v>328</v>
      </c>
      <c r="J21" s="36" t="s">
        <v>305</v>
      </c>
      <c r="K21" s="113">
        <v>45547.650694444499</v>
      </c>
      <c r="L21" s="112" t="s">
        <v>2870</v>
      </c>
      <c r="M21" s="112" t="s">
        <v>2893</v>
      </c>
      <c r="N21" s="112"/>
      <c r="O21" s="112" t="s">
        <v>2905</v>
      </c>
      <c r="P21" s="112"/>
      <c r="Q21" s="112" t="s">
        <v>2912</v>
      </c>
      <c r="R21" s="112" t="s">
        <v>2946</v>
      </c>
      <c r="S21" s="112" t="s">
        <v>2897</v>
      </c>
      <c r="T21" s="112" t="s">
        <v>2898</v>
      </c>
      <c r="U21" s="112" t="s">
        <v>2899</v>
      </c>
      <c r="V21" s="112" t="s">
        <v>2901</v>
      </c>
      <c r="W21" s="112"/>
      <c r="X21" s="112" t="s">
        <v>2903</v>
      </c>
      <c r="Y21" s="112" t="s">
        <v>2908</v>
      </c>
      <c r="Z21" s="112"/>
      <c r="AA21" s="117" t="s">
        <v>2903</v>
      </c>
      <c r="AB21" s="112" t="s">
        <v>2904</v>
      </c>
    </row>
    <row r="22" spans="1:32" ht="13">
      <c r="A22" s="36">
        <v>21</v>
      </c>
      <c r="B22" s="112" t="s">
        <v>2977</v>
      </c>
      <c r="C22" s="38" t="s">
        <v>329</v>
      </c>
      <c r="D22" s="36">
        <v>2</v>
      </c>
      <c r="F22" s="36" t="s">
        <v>299</v>
      </c>
      <c r="G22" s="36" t="s">
        <v>300</v>
      </c>
      <c r="H22" s="36" t="s">
        <v>326</v>
      </c>
      <c r="I22" s="36" t="s">
        <v>330</v>
      </c>
      <c r="J22" s="36" t="s">
        <v>330</v>
      </c>
      <c r="K22" s="113">
        <v>45547.695138888899</v>
      </c>
      <c r="L22" s="112" t="s">
        <v>2870</v>
      </c>
      <c r="M22" s="112" t="s">
        <v>2893</v>
      </c>
      <c r="N22" s="112"/>
      <c r="O22" s="112" t="s">
        <v>2905</v>
      </c>
      <c r="P22" s="112"/>
      <c r="Q22" s="112" t="s">
        <v>2895</v>
      </c>
      <c r="R22" s="112" t="s">
        <v>2896</v>
      </c>
      <c r="S22" s="112" t="s">
        <v>2897</v>
      </c>
      <c r="T22" s="112" t="s">
        <v>2914</v>
      </c>
      <c r="U22" s="112" t="s">
        <v>2943</v>
      </c>
      <c r="V22" s="112" t="s">
        <v>2978</v>
      </c>
      <c r="W22" s="112" t="s">
        <v>2963</v>
      </c>
      <c r="X22" s="112" t="s">
        <v>2901</v>
      </c>
      <c r="Y22" s="112" t="s">
        <v>2908</v>
      </c>
      <c r="Z22" s="112"/>
      <c r="AA22" s="112" t="s">
        <v>2903</v>
      </c>
      <c r="AB22" s="112" t="s">
        <v>2904</v>
      </c>
    </row>
    <row r="23" spans="1:32" ht="13">
      <c r="A23" s="36">
        <v>22</v>
      </c>
      <c r="B23" s="112" t="s">
        <v>2979</v>
      </c>
      <c r="C23" s="38" t="s">
        <v>331</v>
      </c>
      <c r="D23" s="36">
        <v>2</v>
      </c>
      <c r="F23" s="36" t="s">
        <v>299</v>
      </c>
      <c r="G23" s="36" t="s">
        <v>300</v>
      </c>
      <c r="H23" s="36" t="s">
        <v>326</v>
      </c>
      <c r="I23" s="36" t="s">
        <v>328</v>
      </c>
      <c r="J23" s="36" t="s">
        <v>345</v>
      </c>
      <c r="K23" s="113">
        <v>45547.656944444498</v>
      </c>
      <c r="L23" s="112" t="s">
        <v>2870</v>
      </c>
      <c r="M23" s="112" t="s">
        <v>2911</v>
      </c>
      <c r="N23" s="112"/>
      <c r="O23" s="112" t="s">
        <v>2903</v>
      </c>
      <c r="P23" s="112"/>
      <c r="Q23" s="112" t="s">
        <v>2912</v>
      </c>
      <c r="R23" s="112" t="s">
        <v>2896</v>
      </c>
      <c r="S23" s="112" t="s">
        <v>2897</v>
      </c>
      <c r="T23" s="112" t="s">
        <v>2898</v>
      </c>
      <c r="U23" s="112" t="s">
        <v>2943</v>
      </c>
      <c r="V23" s="112" t="s">
        <v>3</v>
      </c>
      <c r="W23" s="112" t="s">
        <v>2963</v>
      </c>
      <c r="X23" s="112" t="s">
        <v>2963</v>
      </c>
      <c r="Y23" s="112" t="s">
        <v>2902</v>
      </c>
      <c r="Z23" s="112"/>
      <c r="AA23" s="112" t="s">
        <v>2980</v>
      </c>
      <c r="AB23" s="112" t="s">
        <v>2904</v>
      </c>
    </row>
    <row r="24" spans="1:32" ht="13">
      <c r="A24" s="36">
        <v>23</v>
      </c>
      <c r="B24" s="112" t="s">
        <v>2981</v>
      </c>
      <c r="C24" s="37" t="s">
        <v>332</v>
      </c>
      <c r="D24" s="36">
        <v>3</v>
      </c>
      <c r="E24" s="38" t="s">
        <v>270</v>
      </c>
      <c r="F24" s="36" t="s">
        <v>299</v>
      </c>
      <c r="G24" s="36" t="s">
        <v>333</v>
      </c>
      <c r="H24" s="36" t="s">
        <v>334</v>
      </c>
      <c r="I24" s="36" t="s">
        <v>302</v>
      </c>
      <c r="J24" s="36" t="s">
        <v>2940</v>
      </c>
      <c r="K24" s="113">
        <v>45548.459027777797</v>
      </c>
      <c r="L24" s="112" t="s">
        <v>2870</v>
      </c>
      <c r="M24" s="112" t="s">
        <v>2936</v>
      </c>
      <c r="N24" s="112"/>
      <c r="O24" s="112" t="s">
        <v>2905</v>
      </c>
      <c r="P24" s="112"/>
      <c r="Q24" s="114" t="s">
        <v>2895</v>
      </c>
      <c r="R24" s="112" t="s">
        <v>2922</v>
      </c>
      <c r="S24" s="112" t="s">
        <v>2897</v>
      </c>
      <c r="T24" s="112" t="s">
        <v>2898</v>
      </c>
      <c r="U24" s="112" t="s">
        <v>2943</v>
      </c>
      <c r="V24" s="112" t="s">
        <v>2923</v>
      </c>
      <c r="W24" s="112"/>
      <c r="X24" s="112" t="s">
        <v>2982</v>
      </c>
      <c r="Y24" s="112" t="s">
        <v>2951</v>
      </c>
      <c r="Z24" s="112"/>
      <c r="AA24" s="112" t="s">
        <v>2983</v>
      </c>
      <c r="AB24" s="112" t="s">
        <v>2904</v>
      </c>
      <c r="AC24" s="34"/>
      <c r="AD24" s="34"/>
      <c r="AE24" s="34"/>
      <c r="AF24" s="34"/>
    </row>
    <row r="25" spans="1:32" ht="13">
      <c r="A25" s="36">
        <v>24</v>
      </c>
      <c r="B25" s="112" t="s">
        <v>2984</v>
      </c>
      <c r="C25" s="37" t="s">
        <v>335</v>
      </c>
      <c r="D25" s="36">
        <v>3</v>
      </c>
      <c r="F25" s="36" t="s">
        <v>299</v>
      </c>
      <c r="G25" s="36" t="s">
        <v>333</v>
      </c>
      <c r="H25" s="36" t="s">
        <v>336</v>
      </c>
      <c r="I25" s="36" t="s">
        <v>337</v>
      </c>
      <c r="J25" s="36" t="s">
        <v>337</v>
      </c>
      <c r="K25" s="113">
        <v>45547.759722222203</v>
      </c>
      <c r="L25" s="112" t="s">
        <v>2870</v>
      </c>
      <c r="M25" s="112" t="s">
        <v>2893</v>
      </c>
      <c r="N25" s="112"/>
      <c r="O25" s="112" t="s">
        <v>2905</v>
      </c>
      <c r="P25" s="112"/>
      <c r="Q25" s="112" t="s">
        <v>2912</v>
      </c>
      <c r="R25" s="112" t="s">
        <v>2922</v>
      </c>
      <c r="S25" s="112" t="s">
        <v>2897</v>
      </c>
      <c r="T25" s="112" t="s">
        <v>2914</v>
      </c>
      <c r="U25" s="112" t="s">
        <v>2947</v>
      </c>
      <c r="V25" s="112" t="s">
        <v>3</v>
      </c>
      <c r="W25" s="112" t="s">
        <v>2985</v>
      </c>
      <c r="X25" s="112" t="s">
        <v>2963</v>
      </c>
      <c r="Y25" s="112" t="s">
        <v>2908</v>
      </c>
      <c r="Z25" s="112"/>
      <c r="AA25" s="112" t="s">
        <v>2918</v>
      </c>
      <c r="AB25" s="112" t="s">
        <v>2904</v>
      </c>
    </row>
    <row r="26" spans="1:32" ht="13">
      <c r="A26" s="36">
        <v>25</v>
      </c>
      <c r="B26" s="112" t="s">
        <v>2986</v>
      </c>
      <c r="C26" s="37" t="s">
        <v>338</v>
      </c>
      <c r="D26" s="36">
        <v>3</v>
      </c>
      <c r="F26" s="36" t="s">
        <v>299</v>
      </c>
      <c r="G26" s="36" t="s">
        <v>333</v>
      </c>
      <c r="H26" s="36" t="s">
        <v>336</v>
      </c>
      <c r="I26" s="36" t="s">
        <v>337</v>
      </c>
      <c r="J26" s="36" t="s">
        <v>337</v>
      </c>
      <c r="K26" s="113">
        <v>45547.861111111102</v>
      </c>
      <c r="L26" s="112" t="s">
        <v>2870</v>
      </c>
      <c r="M26" s="112" t="s">
        <v>2936</v>
      </c>
      <c r="N26" s="112"/>
      <c r="O26" s="112" t="s">
        <v>2905</v>
      </c>
      <c r="P26" s="112"/>
      <c r="Q26" s="112" t="s">
        <v>2912</v>
      </c>
      <c r="R26" s="112" t="s">
        <v>2896</v>
      </c>
      <c r="S26" s="112" t="s">
        <v>2897</v>
      </c>
      <c r="T26" s="112" t="s">
        <v>2914</v>
      </c>
      <c r="U26" s="112" t="s">
        <v>2899</v>
      </c>
      <c r="V26" s="112" t="s">
        <v>2900</v>
      </c>
      <c r="W26" s="112"/>
      <c r="X26" s="112" t="s">
        <v>2987</v>
      </c>
      <c r="Y26" s="112" t="s">
        <v>2942</v>
      </c>
      <c r="Z26" s="112"/>
      <c r="AA26" s="112" t="s">
        <v>2988</v>
      </c>
      <c r="AB26" s="112" t="s">
        <v>2904</v>
      </c>
    </row>
    <row r="27" spans="1:32" ht="13">
      <c r="A27" s="36">
        <v>26</v>
      </c>
      <c r="B27" s="112" t="s">
        <v>339</v>
      </c>
      <c r="C27" s="37" t="s">
        <v>339</v>
      </c>
      <c r="D27" s="36">
        <v>3</v>
      </c>
      <c r="F27" s="36" t="s">
        <v>299</v>
      </c>
      <c r="G27" s="36" t="s">
        <v>333</v>
      </c>
      <c r="H27" s="36" t="s">
        <v>341</v>
      </c>
      <c r="I27" s="36" t="s">
        <v>295</v>
      </c>
      <c r="J27" s="36" t="s">
        <v>295</v>
      </c>
      <c r="K27" s="113">
        <v>45547.692361111098</v>
      </c>
      <c r="L27" s="112" t="s">
        <v>2870</v>
      </c>
      <c r="M27" s="112" t="s">
        <v>2936</v>
      </c>
      <c r="N27" s="112"/>
      <c r="O27" s="112" t="s">
        <v>2903</v>
      </c>
      <c r="P27" s="112"/>
      <c r="Q27" s="112" t="s">
        <v>2895</v>
      </c>
      <c r="R27" s="112" t="s">
        <v>2896</v>
      </c>
      <c r="S27" s="112" t="s">
        <v>2926</v>
      </c>
      <c r="T27" s="112" t="s">
        <v>2914</v>
      </c>
      <c r="U27" s="112" t="s">
        <v>2989</v>
      </c>
      <c r="V27" s="112" t="s">
        <v>2900</v>
      </c>
      <c r="W27" s="112"/>
      <c r="X27" s="112" t="s">
        <v>2900</v>
      </c>
      <c r="Y27" s="112" t="s">
        <v>2908</v>
      </c>
      <c r="Z27" s="112"/>
      <c r="AA27" s="112" t="s">
        <v>2990</v>
      </c>
      <c r="AB27" s="112" t="s">
        <v>2904</v>
      </c>
    </row>
    <row r="28" spans="1:32" ht="13">
      <c r="A28" s="36">
        <v>27</v>
      </c>
      <c r="B28" s="112" t="s">
        <v>2991</v>
      </c>
      <c r="C28" s="37" t="s">
        <v>342</v>
      </c>
      <c r="D28" s="36">
        <v>3</v>
      </c>
      <c r="F28" s="36" t="s">
        <v>299</v>
      </c>
      <c r="G28" s="36" t="s">
        <v>343</v>
      </c>
      <c r="H28" s="36" t="s">
        <v>344</v>
      </c>
      <c r="I28" s="36" t="s">
        <v>345</v>
      </c>
      <c r="J28" s="36" t="s">
        <v>345</v>
      </c>
      <c r="K28" s="113">
        <v>45547.646527777797</v>
      </c>
      <c r="L28" s="112" t="s">
        <v>2870</v>
      </c>
      <c r="M28" s="112" t="s">
        <v>2893</v>
      </c>
      <c r="N28" s="112"/>
      <c r="O28" s="112" t="s">
        <v>2905</v>
      </c>
      <c r="P28" s="112"/>
      <c r="Q28" s="112" t="s">
        <v>2895</v>
      </c>
      <c r="R28" s="112" t="s">
        <v>2922</v>
      </c>
      <c r="S28" s="112" t="s">
        <v>2897</v>
      </c>
      <c r="T28" s="112" t="s">
        <v>2898</v>
      </c>
      <c r="U28" s="112" t="s">
        <v>2992</v>
      </c>
      <c r="V28" s="112" t="s">
        <v>2993</v>
      </c>
      <c r="W28" s="112" t="s">
        <v>2994</v>
      </c>
      <c r="X28" s="112" t="s">
        <v>2995</v>
      </c>
      <c r="Y28" s="112" t="s">
        <v>2996</v>
      </c>
      <c r="Z28" s="112"/>
      <c r="AA28" s="112" t="s">
        <v>2903</v>
      </c>
      <c r="AB28" s="112" t="s">
        <v>2904</v>
      </c>
    </row>
    <row r="29" spans="1:32" ht="13">
      <c r="A29" s="36">
        <v>28</v>
      </c>
      <c r="B29" s="112" t="s">
        <v>346</v>
      </c>
      <c r="C29" s="37" t="s">
        <v>346</v>
      </c>
      <c r="D29" s="36">
        <v>3</v>
      </c>
      <c r="F29" s="36" t="s">
        <v>299</v>
      </c>
      <c r="G29" s="36" t="s">
        <v>343</v>
      </c>
      <c r="H29" s="36" t="s">
        <v>347</v>
      </c>
      <c r="I29" s="36" t="s">
        <v>330</v>
      </c>
      <c r="J29" s="36" t="s">
        <v>330</v>
      </c>
      <c r="K29" s="113">
        <v>45547.694444444503</v>
      </c>
      <c r="L29" s="112" t="s">
        <v>2870</v>
      </c>
      <c r="M29" s="112" t="s">
        <v>2893</v>
      </c>
      <c r="N29" s="112"/>
      <c r="O29" s="112" t="s">
        <v>2905</v>
      </c>
      <c r="P29" s="112"/>
      <c r="Q29" s="112" t="s">
        <v>2895</v>
      </c>
      <c r="R29" s="112" t="s">
        <v>2922</v>
      </c>
      <c r="S29" s="112" t="s">
        <v>2897</v>
      </c>
      <c r="T29" s="112" t="s">
        <v>2898</v>
      </c>
      <c r="U29" s="112" t="s">
        <v>2947</v>
      </c>
      <c r="V29" s="112" t="s">
        <v>3</v>
      </c>
      <c r="W29" s="112" t="s">
        <v>2997</v>
      </c>
      <c r="X29" s="112" t="s">
        <v>2903</v>
      </c>
      <c r="Y29" s="112" t="s">
        <v>2908</v>
      </c>
      <c r="Z29" s="112"/>
      <c r="AA29" s="112" t="s">
        <v>2903</v>
      </c>
      <c r="AB29" s="112" t="s">
        <v>2904</v>
      </c>
    </row>
    <row r="30" spans="1:32" ht="13">
      <c r="A30" s="36">
        <v>29</v>
      </c>
      <c r="B30" s="112" t="s">
        <v>2998</v>
      </c>
      <c r="C30" s="37" t="s">
        <v>348</v>
      </c>
      <c r="D30" s="36">
        <v>3</v>
      </c>
      <c r="F30" s="36" t="s">
        <v>299</v>
      </c>
      <c r="G30" s="36" t="s">
        <v>343</v>
      </c>
      <c r="H30" s="36" t="s">
        <v>349</v>
      </c>
      <c r="I30" s="36" t="s">
        <v>345</v>
      </c>
      <c r="J30" s="36" t="s">
        <v>345</v>
      </c>
      <c r="K30" s="113">
        <v>45547.680555555598</v>
      </c>
      <c r="L30" s="112" t="s">
        <v>2870</v>
      </c>
      <c r="M30" s="112" t="s">
        <v>2911</v>
      </c>
      <c r="N30" s="112"/>
      <c r="O30" s="112" t="s">
        <v>2903</v>
      </c>
      <c r="P30" s="112"/>
      <c r="Q30" s="112" t="s">
        <v>2912</v>
      </c>
      <c r="R30" s="112" t="s">
        <v>2896</v>
      </c>
      <c r="S30" s="112" t="s">
        <v>2906</v>
      </c>
      <c r="T30" s="112" t="s">
        <v>2898</v>
      </c>
      <c r="U30" s="112" t="s">
        <v>2957</v>
      </c>
      <c r="V30" s="112" t="s">
        <v>2900</v>
      </c>
      <c r="W30" s="112"/>
      <c r="X30" s="112" t="s">
        <v>2900</v>
      </c>
      <c r="Y30" s="112" t="s">
        <v>2908</v>
      </c>
      <c r="Z30" s="112"/>
      <c r="AA30" s="112" t="s">
        <v>2918</v>
      </c>
      <c r="AB30" s="112" t="s">
        <v>2904</v>
      </c>
    </row>
    <row r="31" spans="1:32" ht="13">
      <c r="A31" s="54">
        <v>30</v>
      </c>
      <c r="B31" s="118" t="s">
        <v>2999</v>
      </c>
      <c r="C31" s="37" t="s">
        <v>350</v>
      </c>
      <c r="D31" s="36">
        <v>3</v>
      </c>
      <c r="F31" s="36" t="s">
        <v>299</v>
      </c>
      <c r="G31" s="36" t="s">
        <v>351</v>
      </c>
      <c r="H31" s="36" t="s">
        <v>352</v>
      </c>
      <c r="I31" s="36" t="s">
        <v>302</v>
      </c>
      <c r="J31" s="36" t="s">
        <v>3000</v>
      </c>
      <c r="K31" s="113">
        <v>45547.712500000001</v>
      </c>
      <c r="L31" s="112" t="s">
        <v>2870</v>
      </c>
      <c r="M31" s="112" t="s">
        <v>2936</v>
      </c>
      <c r="N31" s="112"/>
      <c r="O31" s="112" t="s">
        <v>2903</v>
      </c>
      <c r="P31" s="112"/>
      <c r="Q31" s="112" t="s">
        <v>2912</v>
      </c>
      <c r="R31" s="112" t="s">
        <v>2896</v>
      </c>
      <c r="S31" s="112" t="s">
        <v>2897</v>
      </c>
      <c r="T31" s="112" t="s">
        <v>2898</v>
      </c>
      <c r="U31" s="112" t="s">
        <v>2899</v>
      </c>
      <c r="V31" s="112" t="s">
        <v>2901</v>
      </c>
      <c r="W31" s="112"/>
      <c r="X31" s="112" t="s">
        <v>3001</v>
      </c>
      <c r="Y31" s="112" t="s">
        <v>2908</v>
      </c>
      <c r="Z31" s="112"/>
      <c r="AA31" s="112" t="s">
        <v>3002</v>
      </c>
      <c r="AB31" s="112" t="s">
        <v>2904</v>
      </c>
    </row>
    <row r="32" spans="1:32" ht="13">
      <c r="A32" s="36">
        <v>31</v>
      </c>
      <c r="B32" s="112" t="s">
        <v>3003</v>
      </c>
      <c r="C32" s="37" t="s">
        <v>353</v>
      </c>
      <c r="D32" s="36">
        <v>3</v>
      </c>
      <c r="F32" s="36" t="s">
        <v>299</v>
      </c>
      <c r="G32" s="36" t="s">
        <v>351</v>
      </c>
      <c r="H32" s="36" t="s">
        <v>354</v>
      </c>
      <c r="I32" s="36" t="s">
        <v>302</v>
      </c>
      <c r="J32" s="36" t="s">
        <v>3000</v>
      </c>
      <c r="K32" s="113">
        <v>45547.6472222222</v>
      </c>
      <c r="L32" s="112" t="s">
        <v>2870</v>
      </c>
      <c r="M32" s="112" t="s">
        <v>2911</v>
      </c>
      <c r="N32" s="112"/>
      <c r="O32" s="112" t="s">
        <v>3004</v>
      </c>
      <c r="P32" s="112"/>
      <c r="Q32" s="112" t="s">
        <v>2895</v>
      </c>
      <c r="R32" s="112" t="s">
        <v>2896</v>
      </c>
      <c r="S32" s="112" t="s">
        <v>2897</v>
      </c>
      <c r="T32" s="112" t="s">
        <v>2914</v>
      </c>
      <c r="U32" s="112" t="s">
        <v>2899</v>
      </c>
      <c r="V32" s="112" t="s">
        <v>3005</v>
      </c>
      <c r="W32" s="112" t="s">
        <v>3006</v>
      </c>
      <c r="X32" s="112" t="s">
        <v>3006</v>
      </c>
      <c r="Y32" s="112" t="s">
        <v>3007</v>
      </c>
      <c r="Z32" s="112"/>
      <c r="AA32" s="112" t="s">
        <v>2903</v>
      </c>
      <c r="AB32" s="112" t="s">
        <v>2904</v>
      </c>
    </row>
    <row r="33" spans="1:32" ht="13">
      <c r="A33" s="36">
        <v>32</v>
      </c>
      <c r="B33" s="112" t="s">
        <v>3008</v>
      </c>
      <c r="C33" s="37" t="s">
        <v>355</v>
      </c>
      <c r="D33" s="36">
        <v>3</v>
      </c>
      <c r="F33" s="36" t="s">
        <v>299</v>
      </c>
      <c r="G33" s="36" t="s">
        <v>351</v>
      </c>
      <c r="H33" s="36" t="s">
        <v>356</v>
      </c>
      <c r="I33" s="36" t="s">
        <v>345</v>
      </c>
      <c r="J33" s="36" t="s">
        <v>345</v>
      </c>
      <c r="K33" s="113">
        <v>45547.645138888904</v>
      </c>
      <c r="L33" s="112" t="s">
        <v>2870</v>
      </c>
      <c r="M33" s="112" t="s">
        <v>2893</v>
      </c>
      <c r="N33" s="112"/>
      <c r="O33" s="112" t="s">
        <v>2905</v>
      </c>
      <c r="P33" s="112"/>
      <c r="Q33" s="112" t="s">
        <v>2912</v>
      </c>
      <c r="R33" s="112" t="s">
        <v>2896</v>
      </c>
      <c r="S33" s="112" t="s">
        <v>2897</v>
      </c>
      <c r="T33" s="112" t="s">
        <v>2898</v>
      </c>
      <c r="U33" s="112" t="s">
        <v>2943</v>
      </c>
      <c r="V33" s="112" t="s">
        <v>2901</v>
      </c>
      <c r="W33" s="112"/>
      <c r="X33" s="112" t="s">
        <v>2903</v>
      </c>
      <c r="Y33" s="112" t="s">
        <v>2908</v>
      </c>
      <c r="Z33" s="112"/>
      <c r="AA33" s="112" t="s">
        <v>2903</v>
      </c>
      <c r="AB33" s="112" t="s">
        <v>2904</v>
      </c>
    </row>
    <row r="34" spans="1:32" ht="13">
      <c r="A34" s="36">
        <v>33</v>
      </c>
      <c r="B34" s="112" t="s">
        <v>3009</v>
      </c>
      <c r="C34" s="37" t="s">
        <v>357</v>
      </c>
      <c r="D34" s="36">
        <v>3</v>
      </c>
      <c r="F34" s="36" t="s">
        <v>299</v>
      </c>
      <c r="G34" s="36" t="s">
        <v>351</v>
      </c>
      <c r="H34" s="36" t="s">
        <v>356</v>
      </c>
      <c r="I34" s="36" t="s">
        <v>295</v>
      </c>
      <c r="J34" s="36" t="s">
        <v>295</v>
      </c>
      <c r="K34" s="113">
        <v>45547.709027777797</v>
      </c>
      <c r="L34" s="112" t="s">
        <v>2870</v>
      </c>
      <c r="M34" s="112" t="s">
        <v>2911</v>
      </c>
      <c r="N34" s="112"/>
      <c r="O34" s="112" t="s">
        <v>2903</v>
      </c>
      <c r="P34" s="112"/>
      <c r="Q34" s="112" t="s">
        <v>2895</v>
      </c>
      <c r="R34" s="112" t="s">
        <v>2922</v>
      </c>
      <c r="S34" s="112" t="s">
        <v>2906</v>
      </c>
      <c r="T34" s="112" t="s">
        <v>2898</v>
      </c>
      <c r="U34" s="112" t="s">
        <v>2899</v>
      </c>
      <c r="V34" s="112" t="s">
        <v>2978</v>
      </c>
      <c r="W34" s="112" t="s">
        <v>3010</v>
      </c>
      <c r="X34" s="112" t="s">
        <v>3011</v>
      </c>
      <c r="Y34" s="112" t="s">
        <v>3007</v>
      </c>
      <c r="Z34" s="112"/>
      <c r="AA34" s="112" t="s">
        <v>3012</v>
      </c>
      <c r="AB34" s="112" t="s">
        <v>2904</v>
      </c>
    </row>
    <row r="35" spans="1:32" ht="13">
      <c r="A35" s="36">
        <v>34</v>
      </c>
      <c r="B35" s="112" t="s">
        <v>3013</v>
      </c>
      <c r="C35" s="37" t="s">
        <v>358</v>
      </c>
      <c r="D35" s="36">
        <v>3</v>
      </c>
      <c r="F35" s="36" t="s">
        <v>299</v>
      </c>
      <c r="G35" s="36" t="s">
        <v>359</v>
      </c>
      <c r="H35" s="36" t="s">
        <v>360</v>
      </c>
      <c r="I35" s="36" t="s">
        <v>302</v>
      </c>
      <c r="J35" s="36" t="s">
        <v>2940</v>
      </c>
      <c r="K35" s="113">
        <v>45548.6743055556</v>
      </c>
      <c r="L35" s="112" t="s">
        <v>2870</v>
      </c>
      <c r="M35" s="112" t="s">
        <v>2893</v>
      </c>
      <c r="N35" s="112"/>
      <c r="O35" s="112" t="s">
        <v>2905</v>
      </c>
      <c r="P35" s="112"/>
      <c r="Q35" s="112" t="s">
        <v>2912</v>
      </c>
      <c r="R35" s="112" t="s">
        <v>2946</v>
      </c>
      <c r="S35" s="112" t="s">
        <v>2897</v>
      </c>
      <c r="T35" s="112" t="s">
        <v>2898</v>
      </c>
      <c r="U35" s="112" t="s">
        <v>2943</v>
      </c>
      <c r="V35" s="112" t="s">
        <v>2900</v>
      </c>
      <c r="W35" s="112"/>
      <c r="X35" s="112" t="s">
        <v>2963</v>
      </c>
      <c r="Y35" s="112" t="s">
        <v>2958</v>
      </c>
      <c r="Z35" s="112"/>
      <c r="AA35" s="112" t="s">
        <v>2903</v>
      </c>
      <c r="AB35" s="112" t="s">
        <v>2904</v>
      </c>
    </row>
    <row r="36" spans="1:32" ht="13">
      <c r="A36" s="36">
        <v>35</v>
      </c>
      <c r="B36" s="112" t="s">
        <v>3014</v>
      </c>
      <c r="C36" s="37" t="s">
        <v>361</v>
      </c>
      <c r="D36" s="36">
        <v>3</v>
      </c>
      <c r="F36" s="36" t="s">
        <v>299</v>
      </c>
      <c r="G36" s="36" t="s">
        <v>343</v>
      </c>
      <c r="H36" s="36" t="s">
        <v>344</v>
      </c>
      <c r="I36" s="36" t="s">
        <v>302</v>
      </c>
      <c r="J36" s="36" t="s">
        <v>2940</v>
      </c>
      <c r="K36" s="113">
        <v>45548.375694444498</v>
      </c>
      <c r="L36" s="112" t="s">
        <v>2870</v>
      </c>
      <c r="M36" s="112" t="s">
        <v>3</v>
      </c>
      <c r="N36" s="112" t="s">
        <v>3015</v>
      </c>
      <c r="O36" s="112" t="s">
        <v>2905</v>
      </c>
      <c r="P36" s="112"/>
      <c r="Q36" s="115" t="s">
        <v>3016</v>
      </c>
      <c r="R36" s="112" t="s">
        <v>3017</v>
      </c>
      <c r="S36" s="112" t="s">
        <v>3018</v>
      </c>
      <c r="T36" s="112" t="s">
        <v>3019</v>
      </c>
      <c r="U36" s="112" t="s">
        <v>3020</v>
      </c>
      <c r="V36" s="112" t="s">
        <v>2901</v>
      </c>
      <c r="W36" s="112"/>
      <c r="X36" s="112" t="s">
        <v>3021</v>
      </c>
      <c r="Y36" s="112" t="s">
        <v>3022</v>
      </c>
      <c r="Z36" s="112" t="s">
        <v>3023</v>
      </c>
      <c r="AA36" s="112" t="s">
        <v>3024</v>
      </c>
      <c r="AB36" s="112" t="s">
        <v>2904</v>
      </c>
      <c r="AC36" s="34"/>
      <c r="AD36" s="34"/>
      <c r="AE36" s="34"/>
      <c r="AF36" s="34"/>
    </row>
    <row r="37" spans="1:32" ht="13">
      <c r="A37" s="36">
        <v>36</v>
      </c>
      <c r="B37" s="112" t="s">
        <v>3025</v>
      </c>
      <c r="C37" s="52" t="s">
        <v>363</v>
      </c>
      <c r="D37" s="36">
        <v>4</v>
      </c>
      <c r="E37" s="38" t="s">
        <v>270</v>
      </c>
      <c r="F37" s="36" t="s">
        <v>272</v>
      </c>
      <c r="G37" s="36" t="s">
        <v>273</v>
      </c>
      <c r="H37" s="36" t="s">
        <v>364</v>
      </c>
      <c r="I37" s="36" t="s">
        <v>302</v>
      </c>
      <c r="J37" s="36" t="s">
        <v>2892</v>
      </c>
      <c r="K37" s="113">
        <v>45547.898611111101</v>
      </c>
      <c r="L37" s="112" t="s">
        <v>2870</v>
      </c>
      <c r="M37" s="112" t="s">
        <v>2893</v>
      </c>
      <c r="N37" s="112"/>
      <c r="O37" s="112" t="s">
        <v>2894</v>
      </c>
      <c r="P37" s="112"/>
      <c r="Q37" s="112" t="s">
        <v>2895</v>
      </c>
      <c r="R37" s="112" t="s">
        <v>2896</v>
      </c>
      <c r="S37" s="112" t="s">
        <v>2897</v>
      </c>
      <c r="T37" s="112" t="s">
        <v>2898</v>
      </c>
      <c r="U37" s="112" t="s">
        <v>2947</v>
      </c>
      <c r="V37" s="112" t="s">
        <v>2901</v>
      </c>
      <c r="W37" s="112"/>
      <c r="X37" s="112" t="s">
        <v>2918</v>
      </c>
      <c r="Y37" s="112" t="s">
        <v>2908</v>
      </c>
      <c r="Z37" s="112"/>
      <c r="AA37" s="112" t="s">
        <v>2903</v>
      </c>
      <c r="AB37" s="112" t="s">
        <v>2904</v>
      </c>
      <c r="AC37" s="34"/>
      <c r="AD37" s="34"/>
      <c r="AE37" s="34"/>
      <c r="AF37" s="34"/>
    </row>
    <row r="38" spans="1:32" ht="13">
      <c r="A38" s="36">
        <v>37</v>
      </c>
      <c r="B38" s="112" t="s">
        <v>3026</v>
      </c>
      <c r="C38" s="52" t="s">
        <v>365</v>
      </c>
      <c r="D38" s="36">
        <v>4</v>
      </c>
      <c r="F38" s="36" t="s">
        <v>366</v>
      </c>
      <c r="G38" s="36" t="s">
        <v>367</v>
      </c>
      <c r="H38" s="36" t="s">
        <v>368</v>
      </c>
      <c r="I38" s="36" t="s">
        <v>302</v>
      </c>
      <c r="J38" s="36" t="s">
        <v>2940</v>
      </c>
      <c r="K38" s="113">
        <v>45547.6652777778</v>
      </c>
      <c r="L38" s="112" t="s">
        <v>2870</v>
      </c>
      <c r="M38" s="112" t="s">
        <v>2911</v>
      </c>
      <c r="N38" s="112"/>
      <c r="O38" s="112" t="s">
        <v>2903</v>
      </c>
      <c r="P38" s="112"/>
      <c r="Q38" s="112" t="s">
        <v>2912</v>
      </c>
      <c r="R38" s="112" t="s">
        <v>2896</v>
      </c>
      <c r="S38" s="112" t="s">
        <v>2913</v>
      </c>
      <c r="T38" s="112" t="s">
        <v>2914</v>
      </c>
      <c r="U38" s="112" t="s">
        <v>2899</v>
      </c>
      <c r="V38" s="112" t="s">
        <v>3</v>
      </c>
      <c r="W38" s="112" t="s">
        <v>3027</v>
      </c>
      <c r="X38" s="112" t="s">
        <v>2903</v>
      </c>
      <c r="Y38" s="112" t="s">
        <v>2951</v>
      </c>
      <c r="Z38" s="112"/>
      <c r="AA38" s="112" t="s">
        <v>2903</v>
      </c>
      <c r="AB38" s="112" t="s">
        <v>2904</v>
      </c>
      <c r="AC38" s="34"/>
      <c r="AD38" s="34"/>
      <c r="AE38" s="34"/>
      <c r="AF38" s="34"/>
    </row>
    <row r="39" spans="1:32" ht="13">
      <c r="A39" s="36">
        <v>38</v>
      </c>
      <c r="B39" s="112" t="s">
        <v>369</v>
      </c>
      <c r="C39" s="38" t="s">
        <v>369</v>
      </c>
      <c r="D39" s="36">
        <v>4</v>
      </c>
      <c r="F39" s="36" t="s">
        <v>366</v>
      </c>
      <c r="G39" s="36" t="s">
        <v>370</v>
      </c>
      <c r="H39" s="36" t="s">
        <v>371</v>
      </c>
      <c r="I39" s="36" t="s">
        <v>295</v>
      </c>
      <c r="J39" s="36" t="s">
        <v>370</v>
      </c>
      <c r="K39" s="113">
        <v>45547.660416666702</v>
      </c>
      <c r="L39" s="112" t="s">
        <v>2870</v>
      </c>
      <c r="M39" s="112" t="s">
        <v>2893</v>
      </c>
      <c r="N39" s="112"/>
      <c r="O39" s="112" t="s">
        <v>2905</v>
      </c>
      <c r="P39" s="112"/>
      <c r="Q39" s="112" t="s">
        <v>2895</v>
      </c>
      <c r="R39" s="112" t="s">
        <v>2896</v>
      </c>
      <c r="S39" s="112" t="s">
        <v>2897</v>
      </c>
      <c r="T39" s="112" t="s">
        <v>2898</v>
      </c>
      <c r="U39" s="112" t="s">
        <v>2928</v>
      </c>
      <c r="V39" s="112" t="s">
        <v>2901</v>
      </c>
      <c r="W39" s="112"/>
      <c r="X39" s="112" t="s">
        <v>2903</v>
      </c>
      <c r="Y39" s="112" t="s">
        <v>2951</v>
      </c>
      <c r="Z39" s="112"/>
      <c r="AA39" s="112" t="s">
        <v>2903</v>
      </c>
      <c r="AB39" s="112" t="s">
        <v>2904</v>
      </c>
    </row>
    <row r="40" spans="1:32" ht="13">
      <c r="A40" s="36">
        <v>39</v>
      </c>
      <c r="B40" s="112" t="s">
        <v>3028</v>
      </c>
      <c r="C40" s="38" t="s">
        <v>372</v>
      </c>
      <c r="D40" s="36">
        <v>4</v>
      </c>
      <c r="F40" s="36" t="s">
        <v>366</v>
      </c>
      <c r="G40" s="36" t="s">
        <v>373</v>
      </c>
      <c r="H40" s="36" t="s">
        <v>374</v>
      </c>
      <c r="I40" s="36" t="s">
        <v>302</v>
      </c>
      <c r="J40" s="36" t="s">
        <v>3029</v>
      </c>
      <c r="K40" s="113">
        <v>45547.645833333299</v>
      </c>
      <c r="L40" s="112" t="s">
        <v>2870</v>
      </c>
      <c r="M40" s="112" t="s">
        <v>3030</v>
      </c>
      <c r="N40" s="112"/>
      <c r="O40" s="112" t="s">
        <v>2903</v>
      </c>
      <c r="P40" s="112"/>
      <c r="Q40" s="112" t="s">
        <v>2895</v>
      </c>
      <c r="R40" s="112" t="s">
        <v>2922</v>
      </c>
      <c r="S40" s="112" t="s">
        <v>2897</v>
      </c>
      <c r="T40" s="112" t="s">
        <v>2898</v>
      </c>
      <c r="U40" s="112" t="s">
        <v>2943</v>
      </c>
      <c r="V40" s="112" t="s">
        <v>2901</v>
      </c>
      <c r="W40" s="112"/>
      <c r="X40" s="112" t="s">
        <v>2901</v>
      </c>
      <c r="Y40" s="112" t="s">
        <v>3031</v>
      </c>
      <c r="Z40" s="112"/>
      <c r="AA40" s="112" t="s">
        <v>3032</v>
      </c>
      <c r="AB40" s="112" t="s">
        <v>2904</v>
      </c>
    </row>
    <row r="41" spans="1:32" ht="13">
      <c r="A41" s="36">
        <v>40</v>
      </c>
      <c r="B41" s="112" t="s">
        <v>376</v>
      </c>
      <c r="C41" s="38" t="s">
        <v>376</v>
      </c>
      <c r="D41" s="36">
        <v>4</v>
      </c>
      <c r="F41" s="36" t="s">
        <v>366</v>
      </c>
      <c r="G41" s="36" t="s">
        <v>373</v>
      </c>
      <c r="H41" s="36" t="s">
        <v>377</v>
      </c>
      <c r="I41" s="36" t="s">
        <v>302</v>
      </c>
      <c r="J41" s="36" t="s">
        <v>2940</v>
      </c>
      <c r="K41" s="113">
        <v>45547.654861111099</v>
      </c>
      <c r="L41" s="112" t="s">
        <v>2870</v>
      </c>
      <c r="M41" s="112" t="s">
        <v>2911</v>
      </c>
      <c r="N41" s="112"/>
      <c r="O41" s="112" t="s">
        <v>2903</v>
      </c>
      <c r="P41" s="112"/>
      <c r="Q41" s="112" t="s">
        <v>2895</v>
      </c>
      <c r="R41" s="112" t="s">
        <v>2922</v>
      </c>
      <c r="S41" s="112" t="s">
        <v>2926</v>
      </c>
      <c r="T41" s="112" t="s">
        <v>2898</v>
      </c>
      <c r="U41" s="112" t="s">
        <v>2947</v>
      </c>
      <c r="V41" s="112" t="s">
        <v>2944</v>
      </c>
      <c r="W41" s="112"/>
      <c r="X41" s="112" t="s">
        <v>2900</v>
      </c>
      <c r="Y41" s="112" t="s">
        <v>3033</v>
      </c>
      <c r="Z41" s="112"/>
      <c r="AA41" s="117" t="s">
        <v>2903</v>
      </c>
      <c r="AB41" s="112" t="s">
        <v>2904</v>
      </c>
    </row>
    <row r="42" spans="1:32" ht="13">
      <c r="A42" s="36">
        <v>41</v>
      </c>
      <c r="B42" s="112" t="s">
        <v>378</v>
      </c>
      <c r="C42" s="38" t="s">
        <v>378</v>
      </c>
      <c r="D42" s="36">
        <v>4</v>
      </c>
      <c r="F42" s="36" t="s">
        <v>366</v>
      </c>
      <c r="G42" s="36" t="s">
        <v>373</v>
      </c>
      <c r="H42" s="36" t="s">
        <v>379</v>
      </c>
      <c r="I42" s="36" t="s">
        <v>330</v>
      </c>
      <c r="J42" s="36" t="s">
        <v>330</v>
      </c>
      <c r="K42" s="113">
        <v>45547.6472222222</v>
      </c>
      <c r="L42" s="112" t="s">
        <v>2870</v>
      </c>
      <c r="M42" s="112" t="s">
        <v>2911</v>
      </c>
      <c r="N42" s="112"/>
      <c r="O42" s="112" t="s">
        <v>2903</v>
      </c>
      <c r="P42" s="112"/>
      <c r="Q42" s="112" t="s">
        <v>2912</v>
      </c>
      <c r="R42" s="112" t="s">
        <v>2922</v>
      </c>
      <c r="S42" s="112" t="s">
        <v>2897</v>
      </c>
      <c r="T42" s="112" t="s">
        <v>2914</v>
      </c>
      <c r="U42" s="112" t="s">
        <v>2943</v>
      </c>
      <c r="V42" s="112" t="s">
        <v>3</v>
      </c>
      <c r="W42" s="112" t="s">
        <v>3034</v>
      </c>
      <c r="X42" s="112" t="s">
        <v>3034</v>
      </c>
      <c r="Y42" s="112" t="s">
        <v>2951</v>
      </c>
      <c r="Z42" s="112"/>
      <c r="AA42" s="112" t="s">
        <v>3035</v>
      </c>
      <c r="AB42" s="112" t="s">
        <v>2904</v>
      </c>
    </row>
    <row r="43" spans="1:32" ht="13">
      <c r="A43" s="36">
        <v>42</v>
      </c>
      <c r="B43" s="112" t="s">
        <v>380</v>
      </c>
      <c r="C43" s="38" t="s">
        <v>380</v>
      </c>
      <c r="D43" s="36">
        <v>4</v>
      </c>
      <c r="F43" s="36" t="s">
        <v>366</v>
      </c>
      <c r="G43" s="36" t="s">
        <v>373</v>
      </c>
      <c r="H43" s="36" t="s">
        <v>379</v>
      </c>
      <c r="I43" s="36" t="s">
        <v>302</v>
      </c>
      <c r="J43" s="36" t="s">
        <v>2940</v>
      </c>
      <c r="K43" s="113">
        <v>45549.275694444499</v>
      </c>
      <c r="L43" s="112" t="s">
        <v>2870</v>
      </c>
      <c r="M43" s="112" t="s">
        <v>2911</v>
      </c>
      <c r="N43" s="112"/>
      <c r="O43" s="112" t="s">
        <v>2903</v>
      </c>
      <c r="P43" s="112"/>
      <c r="Q43" s="112" t="s">
        <v>2895</v>
      </c>
      <c r="R43" s="112" t="s">
        <v>2922</v>
      </c>
      <c r="S43" s="112" t="s">
        <v>2906</v>
      </c>
      <c r="T43" s="112" t="s">
        <v>2898</v>
      </c>
      <c r="U43" s="112" t="s">
        <v>2957</v>
      </c>
      <c r="V43" s="112" t="s">
        <v>2901</v>
      </c>
      <c r="W43" s="112"/>
      <c r="X43" s="112" t="s">
        <v>2903</v>
      </c>
      <c r="Y43" s="112" t="s">
        <v>2908</v>
      </c>
      <c r="Z43" s="112"/>
      <c r="AA43" s="112" t="s">
        <v>2903</v>
      </c>
      <c r="AB43" s="112" t="s">
        <v>2904</v>
      </c>
    </row>
    <row r="44" spans="1:32" ht="13">
      <c r="A44" s="36">
        <v>43</v>
      </c>
      <c r="B44" s="112" t="s">
        <v>3036</v>
      </c>
      <c r="C44" s="38" t="s">
        <v>382</v>
      </c>
      <c r="D44" s="36">
        <v>4</v>
      </c>
      <c r="F44" s="36" t="s">
        <v>366</v>
      </c>
      <c r="G44" s="36" t="s">
        <v>384</v>
      </c>
      <c r="H44" s="36" t="s">
        <v>385</v>
      </c>
      <c r="I44" s="36" t="s">
        <v>302</v>
      </c>
      <c r="J44" s="36" t="s">
        <v>3000</v>
      </c>
      <c r="K44" s="113">
        <v>45549.304861111101</v>
      </c>
      <c r="L44" s="112" t="s">
        <v>2870</v>
      </c>
      <c r="M44" s="112" t="s">
        <v>2893</v>
      </c>
      <c r="N44" s="112"/>
      <c r="O44" s="112" t="s">
        <v>2903</v>
      </c>
      <c r="P44" s="112"/>
      <c r="Q44" s="112" t="s">
        <v>2912</v>
      </c>
      <c r="R44" s="112" t="s">
        <v>2922</v>
      </c>
      <c r="S44" s="112" t="s">
        <v>2897</v>
      </c>
      <c r="T44" s="112" t="s">
        <v>2898</v>
      </c>
      <c r="U44" s="112" t="s">
        <v>2947</v>
      </c>
      <c r="V44" s="112" t="s">
        <v>2900</v>
      </c>
      <c r="W44" s="112"/>
      <c r="X44" s="112" t="s">
        <v>2903</v>
      </c>
      <c r="Y44" s="112" t="s">
        <v>3</v>
      </c>
      <c r="Z44" s="112" t="s">
        <v>3037</v>
      </c>
      <c r="AA44" s="112" t="s">
        <v>3038</v>
      </c>
      <c r="AB44" s="112" t="s">
        <v>2904</v>
      </c>
    </row>
    <row r="45" spans="1:32" ht="13">
      <c r="A45" s="36">
        <v>44</v>
      </c>
      <c r="B45" s="112" t="s">
        <v>387</v>
      </c>
      <c r="C45" s="38" t="s">
        <v>387</v>
      </c>
      <c r="D45" s="36">
        <v>4</v>
      </c>
      <c r="F45" s="36" t="s">
        <v>366</v>
      </c>
      <c r="G45" s="36" t="s">
        <v>367</v>
      </c>
      <c r="H45" s="36" t="s">
        <v>388</v>
      </c>
      <c r="I45" s="36" t="s">
        <v>307</v>
      </c>
      <c r="J45" s="36" t="s">
        <v>311</v>
      </c>
      <c r="K45" s="113">
        <v>45547.655555555597</v>
      </c>
      <c r="L45" s="112" t="s">
        <v>2870</v>
      </c>
      <c r="M45" s="112" t="s">
        <v>2911</v>
      </c>
      <c r="N45" s="112"/>
      <c r="O45" s="112" t="s">
        <v>2903</v>
      </c>
      <c r="P45" s="112"/>
      <c r="Q45" s="112" t="s">
        <v>2912</v>
      </c>
      <c r="R45" s="112" t="s">
        <v>2922</v>
      </c>
      <c r="S45" s="112" t="s">
        <v>2897</v>
      </c>
      <c r="T45" s="112" t="s">
        <v>2898</v>
      </c>
      <c r="U45" s="112" t="s">
        <v>2941</v>
      </c>
      <c r="V45" s="112" t="s">
        <v>3039</v>
      </c>
      <c r="W45" s="112" t="s">
        <v>3040</v>
      </c>
      <c r="X45" s="112" t="s">
        <v>3041</v>
      </c>
      <c r="Y45" s="112" t="s">
        <v>3042</v>
      </c>
      <c r="Z45" s="112"/>
      <c r="AA45" s="112" t="s">
        <v>3038</v>
      </c>
      <c r="AB45" s="112" t="s">
        <v>2904</v>
      </c>
    </row>
    <row r="46" spans="1:32" ht="13">
      <c r="A46" s="36">
        <v>45</v>
      </c>
      <c r="B46" s="112" t="s">
        <v>389</v>
      </c>
      <c r="C46" s="38" t="s">
        <v>389</v>
      </c>
      <c r="D46" s="36">
        <v>4</v>
      </c>
      <c r="F46" s="36" t="s">
        <v>366</v>
      </c>
      <c r="G46" s="36" t="s">
        <v>367</v>
      </c>
      <c r="H46" s="36" t="s">
        <v>368</v>
      </c>
      <c r="I46" s="36" t="s">
        <v>302</v>
      </c>
      <c r="J46" s="36" t="s">
        <v>2940</v>
      </c>
      <c r="K46" s="113">
        <v>45547.647916666698</v>
      </c>
      <c r="L46" s="112" t="s">
        <v>2870</v>
      </c>
      <c r="M46" s="112" t="s">
        <v>2936</v>
      </c>
      <c r="N46" s="112"/>
      <c r="O46" s="112" t="s">
        <v>2905</v>
      </c>
      <c r="P46" s="112"/>
      <c r="Q46" s="112" t="s">
        <v>2912</v>
      </c>
      <c r="R46" s="112" t="s">
        <v>2922</v>
      </c>
      <c r="S46" s="112" t="s">
        <v>2897</v>
      </c>
      <c r="T46" s="112" t="s">
        <v>2914</v>
      </c>
      <c r="U46" s="112" t="s">
        <v>2941</v>
      </c>
      <c r="V46" s="112" t="s">
        <v>2944</v>
      </c>
      <c r="W46" s="112"/>
      <c r="X46" s="112" t="s">
        <v>2903</v>
      </c>
      <c r="Y46" s="112" t="s">
        <v>2902</v>
      </c>
      <c r="Z46" s="112"/>
      <c r="AA46" s="112" t="s">
        <v>2903</v>
      </c>
      <c r="AB46" s="112" t="s">
        <v>2904</v>
      </c>
    </row>
    <row r="47" spans="1:32" ht="13">
      <c r="A47" s="36">
        <v>46</v>
      </c>
      <c r="B47" s="112" t="s">
        <v>390</v>
      </c>
      <c r="C47" s="38" t="s">
        <v>390</v>
      </c>
      <c r="D47" s="36">
        <v>4</v>
      </c>
      <c r="F47" s="36" t="s">
        <v>366</v>
      </c>
      <c r="G47" s="36" t="s">
        <v>367</v>
      </c>
      <c r="H47" s="36" t="s">
        <v>368</v>
      </c>
      <c r="I47" s="36" t="s">
        <v>302</v>
      </c>
      <c r="J47" s="36" t="s">
        <v>2940</v>
      </c>
      <c r="K47" s="113">
        <v>45548.344444444498</v>
      </c>
      <c r="L47" s="112" t="s">
        <v>2870</v>
      </c>
      <c r="M47" s="112" t="s">
        <v>2936</v>
      </c>
      <c r="N47" s="112"/>
      <c r="O47" s="112" t="s">
        <v>2905</v>
      </c>
      <c r="P47" s="112"/>
      <c r="Q47" s="112" t="s">
        <v>2912</v>
      </c>
      <c r="R47" s="112" t="s">
        <v>2922</v>
      </c>
      <c r="S47" s="112" t="s">
        <v>2897</v>
      </c>
      <c r="T47" s="112" t="s">
        <v>2898</v>
      </c>
      <c r="U47" s="112" t="s">
        <v>2943</v>
      </c>
      <c r="V47" s="112" t="s">
        <v>3043</v>
      </c>
      <c r="W47" s="112"/>
      <c r="X47" s="112" t="s">
        <v>2903</v>
      </c>
      <c r="Y47" s="112" t="s">
        <v>2908</v>
      </c>
      <c r="Z47" s="112"/>
      <c r="AA47" s="112" t="s">
        <v>2903</v>
      </c>
      <c r="AB47" s="112" t="s">
        <v>2904</v>
      </c>
    </row>
    <row r="48" spans="1:32" ht="13">
      <c r="A48" s="36">
        <v>47</v>
      </c>
      <c r="B48" s="112" t="s">
        <v>392</v>
      </c>
      <c r="C48" s="38" t="s">
        <v>392</v>
      </c>
      <c r="D48" s="36">
        <v>4</v>
      </c>
      <c r="F48" s="36" t="s">
        <v>366</v>
      </c>
      <c r="G48" s="36" t="s">
        <v>367</v>
      </c>
      <c r="H48" s="36" t="s">
        <v>368</v>
      </c>
      <c r="I48" s="36" t="s">
        <v>337</v>
      </c>
      <c r="J48" s="36" t="s">
        <v>337</v>
      </c>
      <c r="K48" s="113">
        <v>45547.654861111099</v>
      </c>
      <c r="L48" s="112" t="s">
        <v>2870</v>
      </c>
      <c r="M48" s="112" t="s">
        <v>2911</v>
      </c>
      <c r="N48" s="112"/>
      <c r="O48" s="112" t="s">
        <v>2903</v>
      </c>
      <c r="P48" s="112"/>
      <c r="Q48" s="112" t="s">
        <v>2895</v>
      </c>
      <c r="R48" s="112" t="s">
        <v>2922</v>
      </c>
      <c r="S48" s="112" t="s">
        <v>2913</v>
      </c>
      <c r="T48" s="112" t="s">
        <v>2927</v>
      </c>
      <c r="U48" s="112" t="s">
        <v>2943</v>
      </c>
      <c r="V48" s="112" t="s">
        <v>3</v>
      </c>
      <c r="W48" s="112" t="s">
        <v>2903</v>
      </c>
      <c r="X48" s="112" t="s">
        <v>2903</v>
      </c>
      <c r="Y48" s="112" t="s">
        <v>2958</v>
      </c>
      <c r="Z48" s="112"/>
      <c r="AA48" s="112" t="s">
        <v>2903</v>
      </c>
      <c r="AB48" s="112" t="s">
        <v>2904</v>
      </c>
    </row>
    <row r="49" spans="1:32" ht="13">
      <c r="A49" s="36">
        <v>48</v>
      </c>
      <c r="B49" s="112" t="s">
        <v>394</v>
      </c>
      <c r="C49" s="37" t="s">
        <v>394</v>
      </c>
      <c r="D49" s="36">
        <v>5</v>
      </c>
      <c r="E49" s="38" t="s">
        <v>270</v>
      </c>
      <c r="F49" s="36" t="s">
        <v>395</v>
      </c>
      <c r="G49" s="36" t="s">
        <v>396</v>
      </c>
      <c r="H49" s="36" t="s">
        <v>397</v>
      </c>
      <c r="I49" s="36" t="s">
        <v>330</v>
      </c>
      <c r="J49" s="36" t="s">
        <v>3044</v>
      </c>
      <c r="K49" s="113">
        <v>45549.784027777801</v>
      </c>
      <c r="L49" s="112" t="s">
        <v>2870</v>
      </c>
      <c r="M49" s="112" t="s">
        <v>2936</v>
      </c>
      <c r="N49" s="112"/>
      <c r="O49" s="112" t="s">
        <v>2905</v>
      </c>
      <c r="P49" s="112"/>
      <c r="Q49" s="112" t="s">
        <v>2912</v>
      </c>
      <c r="R49" s="112" t="s">
        <v>2896</v>
      </c>
      <c r="S49" s="112" t="s">
        <v>2897</v>
      </c>
      <c r="T49" s="112" t="s">
        <v>2927</v>
      </c>
      <c r="U49" s="112" t="s">
        <v>2943</v>
      </c>
      <c r="V49" s="112" t="s">
        <v>2900</v>
      </c>
      <c r="W49" s="112"/>
      <c r="X49" s="112" t="s">
        <v>3045</v>
      </c>
      <c r="Y49" s="112" t="s">
        <v>2908</v>
      </c>
      <c r="Z49" s="112"/>
      <c r="AA49" s="112" t="s">
        <v>3046</v>
      </c>
      <c r="AB49" s="112" t="s">
        <v>2904</v>
      </c>
      <c r="AC49" s="34"/>
      <c r="AD49" s="34"/>
      <c r="AE49" s="34"/>
      <c r="AF49" s="34"/>
    </row>
    <row r="50" spans="1:32" ht="13">
      <c r="A50" s="36">
        <v>49</v>
      </c>
      <c r="B50" s="112" t="s">
        <v>398</v>
      </c>
      <c r="C50" s="37" t="s">
        <v>398</v>
      </c>
      <c r="D50" s="36">
        <v>5</v>
      </c>
      <c r="F50" s="36" t="s">
        <v>395</v>
      </c>
      <c r="G50" s="36" t="s">
        <v>399</v>
      </c>
      <c r="H50" s="36" t="s">
        <v>400</v>
      </c>
      <c r="I50" s="36" t="s">
        <v>302</v>
      </c>
      <c r="J50" s="36" t="s">
        <v>3000</v>
      </c>
      <c r="K50" s="113">
        <v>45547.646527777797</v>
      </c>
      <c r="L50" s="112" t="s">
        <v>2870</v>
      </c>
      <c r="M50" s="112" t="s">
        <v>2936</v>
      </c>
      <c r="N50" s="112"/>
      <c r="O50" s="112" t="s">
        <v>3004</v>
      </c>
      <c r="P50" s="112"/>
      <c r="Q50" s="112" t="s">
        <v>2895</v>
      </c>
      <c r="R50" s="112" t="s">
        <v>2896</v>
      </c>
      <c r="S50" s="112" t="s">
        <v>2897</v>
      </c>
      <c r="T50" s="112" t="s">
        <v>2898</v>
      </c>
      <c r="U50" s="112" t="s">
        <v>2899</v>
      </c>
      <c r="V50" s="112" t="s">
        <v>2944</v>
      </c>
      <c r="W50" s="112"/>
      <c r="X50" s="112" t="s">
        <v>2901</v>
      </c>
      <c r="Y50" s="112" t="s">
        <v>2951</v>
      </c>
      <c r="Z50" s="112"/>
      <c r="AA50" s="112" t="s">
        <v>2918</v>
      </c>
      <c r="AB50" s="112" t="s">
        <v>2904</v>
      </c>
    </row>
    <row r="51" spans="1:32" ht="13">
      <c r="A51" s="36">
        <v>50</v>
      </c>
      <c r="B51" s="112" t="s">
        <v>3047</v>
      </c>
      <c r="C51" s="37" t="s">
        <v>401</v>
      </c>
      <c r="D51" s="36">
        <v>5</v>
      </c>
      <c r="F51" s="36" t="s">
        <v>304</v>
      </c>
      <c r="G51" s="36" t="s">
        <v>305</v>
      </c>
      <c r="H51" s="36" t="s">
        <v>402</v>
      </c>
      <c r="I51" s="36" t="s">
        <v>330</v>
      </c>
      <c r="J51" s="36" t="s">
        <v>305</v>
      </c>
      <c r="K51" s="113">
        <v>45547.651388888902</v>
      </c>
      <c r="L51" s="112" t="s">
        <v>2870</v>
      </c>
      <c r="M51" s="112" t="s">
        <v>2936</v>
      </c>
      <c r="N51" s="112"/>
      <c r="O51" s="112" t="s">
        <v>2905</v>
      </c>
      <c r="P51" s="112"/>
      <c r="Q51" s="115" t="s">
        <v>2972</v>
      </c>
      <c r="R51" s="112" t="s">
        <v>2896</v>
      </c>
      <c r="S51" s="112" t="s">
        <v>2897</v>
      </c>
      <c r="T51" s="112" t="s">
        <v>2898</v>
      </c>
      <c r="U51" s="112" t="s">
        <v>2947</v>
      </c>
      <c r="V51" s="112" t="s">
        <v>2901</v>
      </c>
      <c r="W51" s="112"/>
      <c r="X51" s="112" t="s">
        <v>2901</v>
      </c>
      <c r="Y51" s="112" t="s">
        <v>2908</v>
      </c>
      <c r="Z51" s="112"/>
      <c r="AA51" s="112" t="s">
        <v>3048</v>
      </c>
      <c r="AB51" s="112" t="s">
        <v>2904</v>
      </c>
    </row>
    <row r="52" spans="1:32" ht="13">
      <c r="A52" s="36">
        <v>51</v>
      </c>
      <c r="B52" s="112" t="s">
        <v>403</v>
      </c>
      <c r="C52" s="37" t="s">
        <v>403</v>
      </c>
      <c r="D52" s="36">
        <v>5</v>
      </c>
      <c r="F52" s="36" t="s">
        <v>395</v>
      </c>
      <c r="G52" s="36" t="s">
        <v>404</v>
      </c>
      <c r="H52" s="36" t="s">
        <v>402</v>
      </c>
      <c r="I52" s="36" t="s">
        <v>337</v>
      </c>
      <c r="J52" s="36" t="s">
        <v>3049</v>
      </c>
      <c r="K52" s="113">
        <v>45547.644444444501</v>
      </c>
      <c r="L52" s="112" t="s">
        <v>2870</v>
      </c>
      <c r="M52" s="112" t="s">
        <v>2936</v>
      </c>
      <c r="N52" s="112"/>
      <c r="O52" s="112" t="s">
        <v>3004</v>
      </c>
      <c r="P52" s="112"/>
      <c r="Q52" s="112" t="s">
        <v>2895</v>
      </c>
      <c r="R52" s="112" t="s">
        <v>2896</v>
      </c>
      <c r="S52" s="112" t="s">
        <v>2906</v>
      </c>
      <c r="T52" s="112" t="s">
        <v>2927</v>
      </c>
      <c r="U52" s="112" t="s">
        <v>2899</v>
      </c>
      <c r="V52" s="112" t="s">
        <v>3</v>
      </c>
      <c r="W52" s="112" t="s">
        <v>2903</v>
      </c>
      <c r="X52" s="112" t="s">
        <v>2903</v>
      </c>
      <c r="Y52" s="112" t="s">
        <v>2908</v>
      </c>
      <c r="Z52" s="112"/>
      <c r="AA52" s="112" t="s">
        <v>3050</v>
      </c>
      <c r="AB52" s="112" t="s">
        <v>2904</v>
      </c>
    </row>
    <row r="53" spans="1:32" ht="13">
      <c r="A53" s="36">
        <v>52</v>
      </c>
      <c r="B53" s="112" t="s">
        <v>3051</v>
      </c>
      <c r="C53" s="37" t="s">
        <v>405</v>
      </c>
      <c r="D53" s="36">
        <v>5</v>
      </c>
      <c r="F53" s="36" t="s">
        <v>395</v>
      </c>
      <c r="G53" s="36" t="s">
        <v>404</v>
      </c>
      <c r="H53" s="36" t="s">
        <v>402</v>
      </c>
      <c r="I53" s="36" t="s">
        <v>297</v>
      </c>
      <c r="J53" s="36" t="s">
        <v>3049</v>
      </c>
      <c r="K53" s="113">
        <v>45548.868750000001</v>
      </c>
      <c r="L53" s="112" t="s">
        <v>2870</v>
      </c>
      <c r="M53" s="112" t="s">
        <v>2893</v>
      </c>
      <c r="N53" s="112"/>
      <c r="O53" s="112" t="s">
        <v>3052</v>
      </c>
      <c r="P53" s="112"/>
      <c r="Q53" s="115" t="s">
        <v>2972</v>
      </c>
      <c r="R53" s="112" t="s">
        <v>2896</v>
      </c>
      <c r="S53" s="112" t="s">
        <v>2897</v>
      </c>
      <c r="T53" s="112" t="s">
        <v>2914</v>
      </c>
      <c r="U53" s="112" t="s">
        <v>2947</v>
      </c>
      <c r="V53" s="112" t="s">
        <v>2900</v>
      </c>
      <c r="W53" s="112"/>
      <c r="X53" s="112" t="s">
        <v>2900</v>
      </c>
      <c r="Y53" s="112" t="s">
        <v>3031</v>
      </c>
      <c r="Z53" s="112"/>
      <c r="AA53" s="112" t="s">
        <v>3053</v>
      </c>
      <c r="AB53" s="112" t="s">
        <v>2904</v>
      </c>
    </row>
    <row r="54" spans="1:32" ht="13">
      <c r="A54" s="36">
        <v>53</v>
      </c>
      <c r="B54" s="112" t="s">
        <v>3054</v>
      </c>
      <c r="C54" s="37" t="s">
        <v>406</v>
      </c>
      <c r="D54" s="36">
        <v>5</v>
      </c>
      <c r="F54" s="36" t="s">
        <v>304</v>
      </c>
      <c r="G54" s="36" t="s">
        <v>305</v>
      </c>
      <c r="H54" s="36" t="s">
        <v>402</v>
      </c>
      <c r="I54" s="36" t="s">
        <v>302</v>
      </c>
      <c r="J54" s="36" t="s">
        <v>305</v>
      </c>
      <c r="K54" s="113">
        <v>45547.663888888899</v>
      </c>
      <c r="L54" s="112" t="s">
        <v>2870</v>
      </c>
      <c r="M54" s="112" t="s">
        <v>2893</v>
      </c>
      <c r="N54" s="112"/>
      <c r="O54" s="112" t="s">
        <v>2903</v>
      </c>
      <c r="P54" s="112"/>
      <c r="Q54" s="112" t="s">
        <v>2895</v>
      </c>
      <c r="R54" s="112" t="s">
        <v>2896</v>
      </c>
      <c r="S54" s="112" t="s">
        <v>2897</v>
      </c>
      <c r="T54" s="112" t="s">
        <v>2898</v>
      </c>
      <c r="U54" s="112" t="s">
        <v>2899</v>
      </c>
      <c r="V54" s="112" t="s">
        <v>3</v>
      </c>
      <c r="W54" s="112" t="s">
        <v>2963</v>
      </c>
      <c r="X54" s="112" t="s">
        <v>2963</v>
      </c>
      <c r="Y54" s="112" t="s">
        <v>2951</v>
      </c>
      <c r="Z54" s="112"/>
      <c r="AA54" s="112" t="s">
        <v>3055</v>
      </c>
      <c r="AB54" s="112" t="s">
        <v>2904</v>
      </c>
    </row>
    <row r="55" spans="1:32" ht="13">
      <c r="A55" s="36">
        <v>54</v>
      </c>
      <c r="B55" s="112" t="s">
        <v>408</v>
      </c>
      <c r="C55" s="37" t="s">
        <v>408</v>
      </c>
      <c r="D55" s="36">
        <v>5</v>
      </c>
      <c r="F55" s="36" t="s">
        <v>395</v>
      </c>
      <c r="G55" s="36" t="s">
        <v>409</v>
      </c>
      <c r="H55" s="36" t="s">
        <v>410</v>
      </c>
      <c r="I55" s="36" t="s">
        <v>302</v>
      </c>
      <c r="J55" s="36" t="s">
        <v>3056</v>
      </c>
      <c r="K55" s="113">
        <v>45547.646527777797</v>
      </c>
      <c r="L55" s="112" t="s">
        <v>2870</v>
      </c>
      <c r="M55" s="112" t="s">
        <v>3057</v>
      </c>
      <c r="N55" s="112"/>
      <c r="O55" s="112" t="s">
        <v>3004</v>
      </c>
      <c r="P55" s="112"/>
      <c r="Q55" s="115" t="s">
        <v>3016</v>
      </c>
      <c r="R55" s="112" t="s">
        <v>3058</v>
      </c>
      <c r="S55" s="112" t="s">
        <v>2913</v>
      </c>
      <c r="T55" s="112" t="s">
        <v>2898</v>
      </c>
      <c r="U55" s="112" t="s">
        <v>2899</v>
      </c>
      <c r="V55" s="112" t="s">
        <v>3</v>
      </c>
      <c r="W55" s="112" t="s">
        <v>3059</v>
      </c>
      <c r="X55" s="112" t="s">
        <v>2903</v>
      </c>
      <c r="Y55" s="112" t="s">
        <v>2902</v>
      </c>
      <c r="Z55" s="112"/>
      <c r="AA55" s="112" t="s">
        <v>2903</v>
      </c>
      <c r="AB55" s="112" t="s">
        <v>2904</v>
      </c>
    </row>
    <row r="56" spans="1:32" ht="13">
      <c r="A56" s="36">
        <v>55</v>
      </c>
      <c r="B56" s="112" t="s">
        <v>411</v>
      </c>
      <c r="C56" s="37" t="s">
        <v>411</v>
      </c>
      <c r="D56" s="36">
        <v>5</v>
      </c>
      <c r="F56" s="36" t="s">
        <v>395</v>
      </c>
      <c r="G56" s="36" t="s">
        <v>409</v>
      </c>
      <c r="H56" s="36" t="s">
        <v>412</v>
      </c>
      <c r="I56" s="36" t="s">
        <v>345</v>
      </c>
      <c r="J56" s="36" t="s">
        <v>3056</v>
      </c>
      <c r="K56" s="113">
        <v>45547.644444444501</v>
      </c>
      <c r="L56" s="112" t="s">
        <v>2870</v>
      </c>
      <c r="M56" s="112" t="s">
        <v>2893</v>
      </c>
      <c r="N56" s="112"/>
      <c r="O56" s="112" t="s">
        <v>2905</v>
      </c>
      <c r="P56" s="112"/>
      <c r="Q56" s="112" t="s">
        <v>3060</v>
      </c>
      <c r="R56" s="112" t="s">
        <v>2922</v>
      </c>
      <c r="S56" s="112" t="s">
        <v>2906</v>
      </c>
      <c r="T56" s="112" t="s">
        <v>2898</v>
      </c>
      <c r="U56" s="112" t="s">
        <v>3061</v>
      </c>
      <c r="V56" s="112" t="s">
        <v>2923</v>
      </c>
      <c r="W56" s="112"/>
      <c r="X56" s="112" t="s">
        <v>3062</v>
      </c>
      <c r="Y56" s="112" t="s">
        <v>3007</v>
      </c>
      <c r="Z56" s="112"/>
      <c r="AA56" s="112" t="s">
        <v>3063</v>
      </c>
      <c r="AB56" s="112" t="s">
        <v>2904</v>
      </c>
    </row>
    <row r="57" spans="1:32" ht="13">
      <c r="A57" s="36">
        <v>56</v>
      </c>
      <c r="B57" s="112" t="s">
        <v>3064</v>
      </c>
      <c r="C57" s="37" t="s">
        <v>413</v>
      </c>
      <c r="D57" s="36">
        <v>5</v>
      </c>
      <c r="F57" s="36" t="s">
        <v>395</v>
      </c>
      <c r="G57" s="36" t="s">
        <v>409</v>
      </c>
      <c r="H57" s="36" t="s">
        <v>414</v>
      </c>
      <c r="I57" s="36" t="s">
        <v>302</v>
      </c>
      <c r="J57" s="36" t="s">
        <v>3056</v>
      </c>
      <c r="K57" s="113">
        <v>45547.645138888904</v>
      </c>
      <c r="L57" s="112" t="s">
        <v>2870</v>
      </c>
      <c r="M57" s="112" t="s">
        <v>2893</v>
      </c>
      <c r="N57" s="112"/>
      <c r="O57" s="112" t="s">
        <v>2905</v>
      </c>
      <c r="P57" s="112"/>
      <c r="Q57" s="112" t="s">
        <v>2895</v>
      </c>
      <c r="R57" s="112" t="s">
        <v>2896</v>
      </c>
      <c r="S57" s="112" t="s">
        <v>2897</v>
      </c>
      <c r="T57" s="112" t="s">
        <v>2898</v>
      </c>
      <c r="U57" s="112" t="s">
        <v>2992</v>
      </c>
      <c r="V57" s="112" t="s">
        <v>3065</v>
      </c>
      <c r="W57" s="112"/>
      <c r="X57" s="112" t="s">
        <v>3066</v>
      </c>
      <c r="Y57" s="112" t="s">
        <v>3033</v>
      </c>
      <c r="Z57" s="112"/>
      <c r="AA57" s="112" t="s">
        <v>3067</v>
      </c>
      <c r="AB57" s="112" t="s">
        <v>2904</v>
      </c>
    </row>
    <row r="58" spans="1:32" ht="13">
      <c r="A58" s="36">
        <v>57</v>
      </c>
      <c r="B58" s="112" t="s">
        <v>415</v>
      </c>
      <c r="C58" s="37" t="s">
        <v>415</v>
      </c>
      <c r="D58" s="36">
        <v>5</v>
      </c>
      <c r="F58" s="36" t="s">
        <v>395</v>
      </c>
      <c r="G58" s="36" t="s">
        <v>396</v>
      </c>
      <c r="H58" s="36" t="s">
        <v>416</v>
      </c>
      <c r="I58" s="36" t="s">
        <v>307</v>
      </c>
      <c r="J58" s="36" t="s">
        <v>3044</v>
      </c>
      <c r="K58" s="113">
        <v>45547.650694444499</v>
      </c>
      <c r="L58" s="112" t="s">
        <v>2870</v>
      </c>
      <c r="M58" s="112" t="s">
        <v>3068</v>
      </c>
      <c r="N58" s="112"/>
      <c r="O58" s="112" t="s">
        <v>2905</v>
      </c>
      <c r="P58" s="112"/>
      <c r="Q58" s="115" t="s">
        <v>3016</v>
      </c>
      <c r="R58" s="112" t="s">
        <v>3017</v>
      </c>
      <c r="S58" s="112" t="s">
        <v>3018</v>
      </c>
      <c r="T58" s="112" t="s">
        <v>2914</v>
      </c>
      <c r="U58" s="112" t="s">
        <v>2899</v>
      </c>
      <c r="V58" s="112" t="s">
        <v>2901</v>
      </c>
      <c r="W58" s="112"/>
      <c r="X58" s="112" t="s">
        <v>2901</v>
      </c>
      <c r="Y58" s="112" t="s">
        <v>2958</v>
      </c>
      <c r="Z58" s="112"/>
      <c r="AA58" s="112" t="s">
        <v>3069</v>
      </c>
      <c r="AB58" s="112" t="s">
        <v>2904</v>
      </c>
    </row>
    <row r="59" spans="1:32" ht="13">
      <c r="A59" s="36">
        <v>58</v>
      </c>
      <c r="B59" s="112" t="s">
        <v>3070</v>
      </c>
      <c r="C59" s="37" t="s">
        <v>417</v>
      </c>
      <c r="D59" s="36">
        <v>5</v>
      </c>
      <c r="F59" s="36" t="s">
        <v>395</v>
      </c>
      <c r="G59" s="36" t="s">
        <v>396</v>
      </c>
      <c r="H59" s="36" t="s">
        <v>416</v>
      </c>
      <c r="I59" s="36" t="s">
        <v>337</v>
      </c>
      <c r="J59" s="36" t="s">
        <v>3044</v>
      </c>
      <c r="K59" s="113">
        <v>45547.735416666699</v>
      </c>
      <c r="L59" s="112" t="s">
        <v>2870</v>
      </c>
      <c r="M59" s="112" t="s">
        <v>2936</v>
      </c>
      <c r="N59" s="112"/>
      <c r="O59" s="112" t="s">
        <v>2903</v>
      </c>
      <c r="P59" s="112"/>
      <c r="Q59" s="112" t="s">
        <v>2912</v>
      </c>
      <c r="R59" s="112" t="s">
        <v>2922</v>
      </c>
      <c r="S59" s="112" t="s">
        <v>2897</v>
      </c>
      <c r="T59" s="112" t="s">
        <v>2898</v>
      </c>
      <c r="U59" s="112" t="s">
        <v>2957</v>
      </c>
      <c r="V59" s="112" t="s">
        <v>3</v>
      </c>
      <c r="W59" s="112" t="s">
        <v>3071</v>
      </c>
      <c r="X59" s="112" t="s">
        <v>2903</v>
      </c>
      <c r="Y59" s="112" t="s">
        <v>2902</v>
      </c>
      <c r="Z59" s="112"/>
      <c r="AA59" s="112" t="s">
        <v>2903</v>
      </c>
      <c r="AB59" s="112" t="s">
        <v>2904</v>
      </c>
    </row>
    <row r="60" spans="1:32" ht="13">
      <c r="A60" s="36">
        <v>59</v>
      </c>
      <c r="B60" s="112" t="s">
        <v>3072</v>
      </c>
      <c r="C60" s="37" t="s">
        <v>418</v>
      </c>
      <c r="D60" s="36">
        <v>5</v>
      </c>
      <c r="F60" s="36" t="s">
        <v>395</v>
      </c>
      <c r="G60" s="36" t="s">
        <v>396</v>
      </c>
      <c r="H60" s="36" t="s">
        <v>412</v>
      </c>
      <c r="I60" s="36" t="s">
        <v>337</v>
      </c>
      <c r="J60" s="36" t="s">
        <v>3044</v>
      </c>
      <c r="K60" s="113">
        <v>45547.646527777797</v>
      </c>
      <c r="L60" s="112" t="s">
        <v>2870</v>
      </c>
      <c r="M60" s="112" t="s">
        <v>2936</v>
      </c>
      <c r="N60" s="112"/>
      <c r="O60" s="112" t="s">
        <v>2903</v>
      </c>
      <c r="P60" s="112"/>
      <c r="Q60" s="112" t="s">
        <v>2912</v>
      </c>
      <c r="R60" s="112" t="s">
        <v>2946</v>
      </c>
      <c r="S60" s="112" t="s">
        <v>2913</v>
      </c>
      <c r="T60" s="112" t="s">
        <v>2898</v>
      </c>
      <c r="U60" s="112" t="s">
        <v>2947</v>
      </c>
      <c r="V60" s="112" t="s">
        <v>2900</v>
      </c>
      <c r="W60" s="112"/>
      <c r="X60" s="112" t="s">
        <v>2903</v>
      </c>
      <c r="Y60" s="112" t="s">
        <v>2948</v>
      </c>
      <c r="Z60" s="112"/>
      <c r="AA60" s="112" t="s">
        <v>3073</v>
      </c>
      <c r="AB60" s="112" t="s">
        <v>2904</v>
      </c>
    </row>
    <row r="61" spans="1:32" ht="13">
      <c r="A61" s="36">
        <v>60</v>
      </c>
      <c r="B61" s="112" t="s">
        <v>419</v>
      </c>
      <c r="C61" s="37" t="s">
        <v>419</v>
      </c>
      <c r="D61" s="36">
        <v>5</v>
      </c>
      <c r="F61" s="36" t="s">
        <v>395</v>
      </c>
      <c r="G61" s="36" t="s">
        <v>396</v>
      </c>
      <c r="H61" s="36" t="s">
        <v>412</v>
      </c>
      <c r="I61" s="36" t="s">
        <v>330</v>
      </c>
      <c r="J61" s="36" t="s">
        <v>3044</v>
      </c>
      <c r="K61" s="113">
        <v>45548.356944444502</v>
      </c>
      <c r="L61" s="112" t="s">
        <v>2870</v>
      </c>
      <c r="M61" s="112" t="s">
        <v>2893</v>
      </c>
      <c r="N61" s="112"/>
      <c r="O61" s="112" t="s">
        <v>2905</v>
      </c>
      <c r="P61" s="112"/>
      <c r="Q61" s="112" t="s">
        <v>2912</v>
      </c>
      <c r="R61" s="112" t="s">
        <v>2922</v>
      </c>
      <c r="S61" s="112" t="s">
        <v>2906</v>
      </c>
      <c r="T61" s="112" t="s">
        <v>2914</v>
      </c>
      <c r="U61" s="112" t="s">
        <v>2947</v>
      </c>
      <c r="V61" s="112" t="s">
        <v>2901</v>
      </c>
      <c r="W61" s="112"/>
      <c r="X61" s="112" t="s">
        <v>2901</v>
      </c>
      <c r="Y61" s="112" t="s">
        <v>2951</v>
      </c>
      <c r="Z61" s="112"/>
      <c r="AA61" s="112" t="s">
        <v>3074</v>
      </c>
      <c r="AB61" s="112" t="s">
        <v>2904</v>
      </c>
    </row>
    <row r="62" spans="1:32" ht="13">
      <c r="A62" s="36">
        <v>61</v>
      </c>
      <c r="B62" s="112" t="s">
        <v>420</v>
      </c>
      <c r="C62" s="38" t="s">
        <v>420</v>
      </c>
      <c r="D62" s="36">
        <v>6</v>
      </c>
      <c r="E62" s="38" t="s">
        <v>270</v>
      </c>
      <c r="F62" s="36" t="s">
        <v>395</v>
      </c>
      <c r="G62" s="36" t="s">
        <v>422</v>
      </c>
      <c r="H62" s="36" t="s">
        <v>423</v>
      </c>
      <c r="I62" s="36" t="s">
        <v>307</v>
      </c>
      <c r="J62" s="36" t="s">
        <v>3075</v>
      </c>
      <c r="K62" s="113">
        <v>45547.652777777803</v>
      </c>
      <c r="L62" s="112" t="s">
        <v>2870</v>
      </c>
      <c r="M62" s="112" t="s">
        <v>2936</v>
      </c>
      <c r="N62" s="112"/>
      <c r="O62" s="112" t="s">
        <v>2903</v>
      </c>
      <c r="P62" s="112"/>
      <c r="Q62" s="112" t="s">
        <v>2895</v>
      </c>
      <c r="R62" s="112" t="s">
        <v>2922</v>
      </c>
      <c r="S62" s="112" t="s">
        <v>2897</v>
      </c>
      <c r="T62" s="112" t="s">
        <v>2914</v>
      </c>
      <c r="U62" s="112" t="s">
        <v>2943</v>
      </c>
      <c r="V62" s="112" t="s">
        <v>2944</v>
      </c>
      <c r="W62" s="112"/>
      <c r="X62" s="112" t="s">
        <v>2918</v>
      </c>
      <c r="Y62" s="112" t="s">
        <v>2908</v>
      </c>
      <c r="Z62" s="112"/>
      <c r="AA62" s="112" t="s">
        <v>3076</v>
      </c>
      <c r="AB62" s="112" t="s">
        <v>2904</v>
      </c>
      <c r="AC62" s="34"/>
      <c r="AD62" s="34"/>
      <c r="AE62" s="34"/>
      <c r="AF62" s="34"/>
    </row>
    <row r="63" spans="1:32" ht="13">
      <c r="A63" s="36">
        <v>62</v>
      </c>
      <c r="B63" s="112" t="s">
        <v>424</v>
      </c>
      <c r="C63" s="38" t="s">
        <v>424</v>
      </c>
      <c r="D63" s="36">
        <v>6</v>
      </c>
      <c r="F63" s="36" t="s">
        <v>395</v>
      </c>
      <c r="G63" s="36" t="s">
        <v>422</v>
      </c>
      <c r="H63" s="36" t="s">
        <v>425</v>
      </c>
      <c r="I63" s="36" t="s">
        <v>297</v>
      </c>
      <c r="J63" s="36" t="s">
        <v>3075</v>
      </c>
      <c r="K63" s="113">
        <v>45547.727083333302</v>
      </c>
      <c r="L63" s="112" t="s">
        <v>2870</v>
      </c>
      <c r="M63" s="112" t="s">
        <v>2893</v>
      </c>
      <c r="N63" s="112"/>
      <c r="O63" s="112" t="s">
        <v>2903</v>
      </c>
      <c r="P63" s="112"/>
      <c r="Q63" s="112" t="s">
        <v>2895</v>
      </c>
      <c r="R63" s="112" t="s">
        <v>2946</v>
      </c>
      <c r="S63" s="112" t="s">
        <v>2913</v>
      </c>
      <c r="T63" s="112" t="s">
        <v>2898</v>
      </c>
      <c r="U63" s="112" t="s">
        <v>2947</v>
      </c>
      <c r="V63" s="112" t="s">
        <v>2901</v>
      </c>
      <c r="W63" s="112"/>
      <c r="X63" s="112" t="s">
        <v>2903</v>
      </c>
      <c r="Y63" s="112" t="s">
        <v>2908</v>
      </c>
      <c r="Z63" s="112"/>
      <c r="AA63" s="112" t="s">
        <v>2903</v>
      </c>
      <c r="AB63" s="112" t="s">
        <v>2904</v>
      </c>
    </row>
    <row r="64" spans="1:32" ht="13">
      <c r="A64" s="36">
        <v>63</v>
      </c>
      <c r="B64" s="112" t="s">
        <v>426</v>
      </c>
      <c r="C64" s="38" t="s">
        <v>426</v>
      </c>
      <c r="D64" s="36">
        <v>6</v>
      </c>
      <c r="F64" s="36" t="s">
        <v>395</v>
      </c>
      <c r="G64" s="36" t="s">
        <v>422</v>
      </c>
      <c r="H64" s="36" t="s">
        <v>425</v>
      </c>
      <c r="I64" s="36" t="s">
        <v>297</v>
      </c>
      <c r="J64" s="36" t="s">
        <v>3075</v>
      </c>
      <c r="K64" s="113">
        <v>45550.672916666699</v>
      </c>
      <c r="L64" s="112" t="s">
        <v>2870</v>
      </c>
      <c r="M64" s="112" t="s">
        <v>2911</v>
      </c>
      <c r="N64" s="112"/>
      <c r="O64" s="112" t="s">
        <v>2903</v>
      </c>
      <c r="P64" s="112"/>
      <c r="Q64" s="112" t="s">
        <v>2895</v>
      </c>
      <c r="R64" s="112" t="s">
        <v>2896</v>
      </c>
      <c r="S64" s="112" t="s">
        <v>2906</v>
      </c>
      <c r="T64" s="112" t="s">
        <v>2927</v>
      </c>
      <c r="U64" s="112" t="s">
        <v>2957</v>
      </c>
      <c r="V64" s="112" t="s">
        <v>2900</v>
      </c>
      <c r="W64" s="112"/>
      <c r="X64" s="112" t="s">
        <v>2918</v>
      </c>
      <c r="Y64" s="112" t="s">
        <v>2958</v>
      </c>
      <c r="Z64" s="112"/>
      <c r="AA64" s="112" t="s">
        <v>2918</v>
      </c>
      <c r="AB64" s="112" t="s">
        <v>2904</v>
      </c>
    </row>
    <row r="65" spans="1:28" ht="13">
      <c r="A65" s="36">
        <v>64</v>
      </c>
      <c r="B65" s="112" t="s">
        <v>427</v>
      </c>
      <c r="C65" s="38" t="s">
        <v>427</v>
      </c>
      <c r="D65" s="36">
        <v>6</v>
      </c>
      <c r="F65" s="36" t="s">
        <v>395</v>
      </c>
      <c r="G65" s="36" t="s">
        <v>422</v>
      </c>
      <c r="H65" s="36" t="s">
        <v>423</v>
      </c>
      <c r="I65" s="36" t="s">
        <v>337</v>
      </c>
      <c r="J65" s="36" t="s">
        <v>3075</v>
      </c>
      <c r="K65" s="113">
        <v>45547.648611111101</v>
      </c>
      <c r="L65" s="112" t="s">
        <v>2870</v>
      </c>
      <c r="M65" s="112" t="s">
        <v>2893</v>
      </c>
      <c r="N65" s="112"/>
      <c r="O65" s="112" t="s">
        <v>2903</v>
      </c>
      <c r="P65" s="112"/>
      <c r="Q65" s="112" t="s">
        <v>2912</v>
      </c>
      <c r="R65" s="112" t="s">
        <v>2922</v>
      </c>
      <c r="S65" s="112" t="s">
        <v>2897</v>
      </c>
      <c r="T65" s="112" t="s">
        <v>2914</v>
      </c>
      <c r="U65" s="112" t="s">
        <v>2899</v>
      </c>
      <c r="V65" s="112" t="s">
        <v>3</v>
      </c>
      <c r="W65" s="112" t="s">
        <v>3077</v>
      </c>
      <c r="X65" s="112" t="s">
        <v>2903</v>
      </c>
      <c r="Y65" s="112" t="s">
        <v>2951</v>
      </c>
      <c r="Z65" s="112"/>
      <c r="AA65" s="112" t="s">
        <v>3078</v>
      </c>
      <c r="AB65" s="112" t="s">
        <v>2904</v>
      </c>
    </row>
    <row r="66" spans="1:28" ht="13">
      <c r="A66" s="36">
        <v>65</v>
      </c>
      <c r="B66" s="112" t="s">
        <v>429</v>
      </c>
      <c r="C66" s="38" t="s">
        <v>429</v>
      </c>
      <c r="D66" s="36">
        <v>6</v>
      </c>
      <c r="F66" s="36" t="s">
        <v>395</v>
      </c>
      <c r="G66" s="36" t="s">
        <v>422</v>
      </c>
      <c r="H66" s="36" t="s">
        <v>423</v>
      </c>
      <c r="I66" s="36" t="s">
        <v>297</v>
      </c>
      <c r="J66" s="36" t="s">
        <v>3075</v>
      </c>
      <c r="K66" s="113">
        <v>45548.434722222199</v>
      </c>
      <c r="L66" s="112" t="s">
        <v>2870</v>
      </c>
      <c r="M66" s="112" t="s">
        <v>2893</v>
      </c>
      <c r="N66" s="112"/>
      <c r="O66" s="112" t="s">
        <v>2905</v>
      </c>
      <c r="P66" s="112"/>
      <c r="Q66" s="112" t="s">
        <v>2912</v>
      </c>
      <c r="R66" s="112" t="s">
        <v>2922</v>
      </c>
      <c r="S66" s="112" t="s">
        <v>2926</v>
      </c>
      <c r="T66" s="112" t="s">
        <v>2914</v>
      </c>
      <c r="U66" s="112" t="s">
        <v>2992</v>
      </c>
      <c r="V66" s="112" t="s">
        <v>2901</v>
      </c>
      <c r="W66" s="112"/>
      <c r="X66" s="112" t="s">
        <v>3066</v>
      </c>
      <c r="Y66" s="112" t="s">
        <v>2908</v>
      </c>
      <c r="Z66" s="112"/>
      <c r="AA66" s="112" t="s">
        <v>3079</v>
      </c>
      <c r="AB66" s="112" t="s">
        <v>2904</v>
      </c>
    </row>
    <row r="67" spans="1:28" ht="13">
      <c r="A67" s="36">
        <v>66</v>
      </c>
      <c r="B67" s="112" t="s">
        <v>3080</v>
      </c>
      <c r="C67" s="38" t="s">
        <v>3080</v>
      </c>
      <c r="D67" s="36">
        <v>6</v>
      </c>
      <c r="F67" s="36" t="s">
        <v>395</v>
      </c>
      <c r="G67" s="36" t="s">
        <v>422</v>
      </c>
      <c r="H67" s="36" t="s">
        <v>432</v>
      </c>
      <c r="I67" s="36" t="s">
        <v>330</v>
      </c>
      <c r="J67" s="36" t="s">
        <v>3075</v>
      </c>
      <c r="K67" s="113">
        <v>45547.645138888904</v>
      </c>
      <c r="L67" s="112" t="s">
        <v>2870</v>
      </c>
      <c r="M67" s="112" t="s">
        <v>2893</v>
      </c>
      <c r="N67" s="112"/>
      <c r="O67" s="112" t="s">
        <v>2905</v>
      </c>
      <c r="P67" s="112"/>
      <c r="Q67" s="112" t="s">
        <v>2912</v>
      </c>
      <c r="R67" s="112" t="s">
        <v>2922</v>
      </c>
      <c r="S67" s="112" t="s">
        <v>2913</v>
      </c>
      <c r="T67" s="112" t="s">
        <v>2927</v>
      </c>
      <c r="U67" s="112" t="s">
        <v>2943</v>
      </c>
      <c r="V67" s="112" t="s">
        <v>3</v>
      </c>
      <c r="W67" s="112" t="s">
        <v>2903</v>
      </c>
      <c r="X67" s="112" t="s">
        <v>2903</v>
      </c>
      <c r="Y67" s="112" t="s">
        <v>3007</v>
      </c>
      <c r="Z67" s="112"/>
      <c r="AA67" s="112" t="s">
        <v>3081</v>
      </c>
      <c r="AB67" s="112" t="s">
        <v>2904</v>
      </c>
    </row>
    <row r="68" spans="1:28" ht="13">
      <c r="A68" s="36">
        <v>67</v>
      </c>
      <c r="B68" s="112" t="s">
        <v>3082</v>
      </c>
      <c r="C68" s="38" t="s">
        <v>431</v>
      </c>
      <c r="D68" s="36">
        <v>6</v>
      </c>
      <c r="F68" s="36" t="s">
        <v>395</v>
      </c>
      <c r="G68" s="36" t="s">
        <v>422</v>
      </c>
      <c r="H68" s="36" t="s">
        <v>432</v>
      </c>
      <c r="I68" s="36" t="s">
        <v>330</v>
      </c>
      <c r="J68" s="36" t="s">
        <v>3075</v>
      </c>
      <c r="K68" s="113">
        <v>45547.646527777797</v>
      </c>
      <c r="L68" s="112" t="s">
        <v>2870</v>
      </c>
      <c r="M68" s="112" t="s">
        <v>2911</v>
      </c>
      <c r="N68" s="112"/>
      <c r="O68" s="112" t="s">
        <v>2903</v>
      </c>
      <c r="P68" s="112"/>
      <c r="Q68" s="112" t="s">
        <v>2895</v>
      </c>
      <c r="R68" s="112" t="s">
        <v>2922</v>
      </c>
      <c r="S68" s="112" t="s">
        <v>2897</v>
      </c>
      <c r="T68" s="112" t="s">
        <v>2898</v>
      </c>
      <c r="U68" s="112" t="s">
        <v>2943</v>
      </c>
      <c r="V68" s="112" t="s">
        <v>3043</v>
      </c>
      <c r="W68" s="112"/>
      <c r="X68" s="112" t="s">
        <v>3077</v>
      </c>
      <c r="Y68" s="112" t="s">
        <v>2951</v>
      </c>
      <c r="Z68" s="112"/>
      <c r="AA68" s="112" t="s">
        <v>3083</v>
      </c>
      <c r="AB68" s="112" t="s">
        <v>2904</v>
      </c>
    </row>
    <row r="69" spans="1:28" ht="13">
      <c r="A69" s="36">
        <v>68</v>
      </c>
      <c r="B69" s="112" t="s">
        <v>433</v>
      </c>
      <c r="C69" s="38" t="s">
        <v>433</v>
      </c>
      <c r="D69" s="36">
        <v>6</v>
      </c>
      <c r="F69" s="36" t="s">
        <v>395</v>
      </c>
      <c r="G69" s="36" t="s">
        <v>422</v>
      </c>
      <c r="H69" s="36" t="s">
        <v>432</v>
      </c>
      <c r="I69" s="36" t="s">
        <v>337</v>
      </c>
      <c r="J69" s="36" t="s">
        <v>3075</v>
      </c>
      <c r="K69" s="113">
        <v>45547.65625</v>
      </c>
      <c r="L69" s="112" t="s">
        <v>2870</v>
      </c>
      <c r="M69" s="112" t="s">
        <v>3084</v>
      </c>
      <c r="N69" s="112" t="s">
        <v>3085</v>
      </c>
      <c r="O69" s="112" t="s">
        <v>2903</v>
      </c>
      <c r="P69" s="112"/>
      <c r="Q69" s="112" t="s">
        <v>2895</v>
      </c>
      <c r="R69" s="112" t="s">
        <v>2922</v>
      </c>
      <c r="S69" s="112" t="s">
        <v>2897</v>
      </c>
      <c r="T69" s="112" t="s">
        <v>2898</v>
      </c>
      <c r="U69" s="112" t="s">
        <v>2989</v>
      </c>
      <c r="V69" s="112" t="s">
        <v>2900</v>
      </c>
      <c r="W69" s="112"/>
      <c r="X69" s="112" t="s">
        <v>3086</v>
      </c>
      <c r="Y69" s="112" t="s">
        <v>2908</v>
      </c>
      <c r="Z69" s="112"/>
      <c r="AA69" s="112" t="s">
        <v>3087</v>
      </c>
      <c r="AB69" s="112" t="s">
        <v>2904</v>
      </c>
    </row>
    <row r="70" spans="1:28" ht="13">
      <c r="A70" s="36">
        <v>69</v>
      </c>
      <c r="B70" s="112" t="s">
        <v>434</v>
      </c>
      <c r="C70" s="38" t="s">
        <v>434</v>
      </c>
      <c r="D70" s="36">
        <v>6</v>
      </c>
      <c r="F70" s="36" t="s">
        <v>395</v>
      </c>
      <c r="G70" s="36" t="s">
        <v>422</v>
      </c>
      <c r="H70" s="36" t="s">
        <v>432</v>
      </c>
      <c r="I70" s="36" t="s">
        <v>297</v>
      </c>
      <c r="J70" s="36" t="s">
        <v>3075</v>
      </c>
      <c r="K70" s="113">
        <v>45548.340277777803</v>
      </c>
      <c r="L70" s="112" t="s">
        <v>2870</v>
      </c>
      <c r="M70" s="112" t="s">
        <v>2893</v>
      </c>
      <c r="N70" s="112"/>
      <c r="O70" s="112" t="s">
        <v>2903</v>
      </c>
      <c r="P70" s="112"/>
      <c r="Q70" s="112" t="s">
        <v>2912</v>
      </c>
      <c r="R70" s="112" t="s">
        <v>2922</v>
      </c>
      <c r="S70" s="112" t="s">
        <v>2906</v>
      </c>
      <c r="T70" s="112" t="s">
        <v>2914</v>
      </c>
      <c r="U70" s="112" t="s">
        <v>2899</v>
      </c>
      <c r="V70" s="112" t="s">
        <v>2978</v>
      </c>
      <c r="W70" s="112" t="s">
        <v>2987</v>
      </c>
      <c r="X70" s="112" t="s">
        <v>2903</v>
      </c>
      <c r="Y70" s="112" t="s">
        <v>3042</v>
      </c>
      <c r="Z70" s="112"/>
      <c r="AA70" s="112" t="s">
        <v>2903</v>
      </c>
      <c r="AB70" s="112" t="s">
        <v>2904</v>
      </c>
    </row>
    <row r="71" spans="1:28" ht="13">
      <c r="A71" s="36">
        <v>70</v>
      </c>
      <c r="B71" s="112" t="s">
        <v>3088</v>
      </c>
      <c r="C71" s="38" t="s">
        <v>435</v>
      </c>
      <c r="D71" s="36">
        <v>6</v>
      </c>
      <c r="F71" s="36" t="s">
        <v>395</v>
      </c>
      <c r="G71" s="36" t="s">
        <v>437</v>
      </c>
      <c r="H71" s="36" t="s">
        <v>425</v>
      </c>
      <c r="I71" s="36" t="s">
        <v>302</v>
      </c>
      <c r="J71" s="36" t="s">
        <v>3089</v>
      </c>
      <c r="K71" s="113">
        <v>45547.652083333298</v>
      </c>
      <c r="L71" s="112" t="s">
        <v>2870</v>
      </c>
      <c r="M71" s="112" t="s">
        <v>2893</v>
      </c>
      <c r="N71" s="112"/>
      <c r="O71" s="112" t="s">
        <v>2905</v>
      </c>
      <c r="P71" s="112"/>
      <c r="Q71" s="112" t="s">
        <v>2895</v>
      </c>
      <c r="R71" s="112" t="s">
        <v>2896</v>
      </c>
      <c r="S71" s="112" t="s">
        <v>2897</v>
      </c>
      <c r="T71" s="112" t="s">
        <v>2898</v>
      </c>
      <c r="U71" s="112" t="s">
        <v>2947</v>
      </c>
      <c r="V71" s="112" t="s">
        <v>3</v>
      </c>
      <c r="W71" s="112" t="s">
        <v>3090</v>
      </c>
      <c r="X71" s="112" t="s">
        <v>2994</v>
      </c>
      <c r="Y71" s="112" t="s">
        <v>3033</v>
      </c>
      <c r="Z71" s="112"/>
      <c r="AA71" s="112" t="s">
        <v>3091</v>
      </c>
      <c r="AB71" s="112" t="s">
        <v>2904</v>
      </c>
    </row>
    <row r="72" spans="1:28" ht="13">
      <c r="A72" s="36">
        <v>71</v>
      </c>
      <c r="B72" s="112" t="s">
        <v>438</v>
      </c>
      <c r="C72" s="38" t="s">
        <v>438</v>
      </c>
      <c r="D72" s="36">
        <v>6</v>
      </c>
      <c r="F72" s="36" t="s">
        <v>395</v>
      </c>
      <c r="G72" s="36" t="s">
        <v>437</v>
      </c>
      <c r="H72" s="36" t="s">
        <v>425</v>
      </c>
      <c r="I72" s="36" t="s">
        <v>302</v>
      </c>
      <c r="J72" s="36" t="s">
        <v>3089</v>
      </c>
      <c r="K72" s="113">
        <v>45548.443749999999</v>
      </c>
      <c r="L72" s="112" t="s">
        <v>2870</v>
      </c>
      <c r="M72" s="112" t="s">
        <v>2893</v>
      </c>
      <c r="N72" s="112"/>
      <c r="O72" s="112" t="s">
        <v>2903</v>
      </c>
      <c r="P72" s="112"/>
      <c r="Q72" s="112" t="s">
        <v>2895</v>
      </c>
      <c r="R72" s="112" t="s">
        <v>2922</v>
      </c>
      <c r="S72" s="112" t="s">
        <v>2897</v>
      </c>
      <c r="T72" s="112" t="s">
        <v>2898</v>
      </c>
      <c r="U72" s="112" t="s">
        <v>2957</v>
      </c>
      <c r="V72" s="112" t="s">
        <v>2900</v>
      </c>
      <c r="W72" s="112"/>
      <c r="X72" s="112" t="s">
        <v>2900</v>
      </c>
      <c r="Y72" s="112" t="s">
        <v>3042</v>
      </c>
      <c r="Z72" s="112"/>
      <c r="AA72" s="112" t="s">
        <v>2903</v>
      </c>
      <c r="AB72" s="112" t="s">
        <v>2904</v>
      </c>
    </row>
    <row r="73" spans="1:28" ht="13">
      <c r="A73" s="36">
        <v>72</v>
      </c>
      <c r="B73" s="112" t="s">
        <v>3092</v>
      </c>
      <c r="C73" s="38" t="s">
        <v>439</v>
      </c>
      <c r="D73" s="36">
        <v>6</v>
      </c>
      <c r="F73" s="36" t="s">
        <v>395</v>
      </c>
      <c r="G73" s="36" t="s">
        <v>437</v>
      </c>
      <c r="H73" s="36" t="s">
        <v>425</v>
      </c>
      <c r="I73" s="36" t="s">
        <v>302</v>
      </c>
      <c r="J73" s="36" t="s">
        <v>3089</v>
      </c>
      <c r="K73" s="113">
        <v>45548.443749999999</v>
      </c>
      <c r="L73" s="112" t="s">
        <v>2870</v>
      </c>
      <c r="M73" s="112" t="s">
        <v>2893</v>
      </c>
      <c r="N73" s="112"/>
      <c r="O73" s="112" t="s">
        <v>2905</v>
      </c>
      <c r="P73" s="112"/>
      <c r="Q73" s="112" t="s">
        <v>2895</v>
      </c>
      <c r="R73" s="112" t="s">
        <v>2922</v>
      </c>
      <c r="S73" s="112" t="s">
        <v>2897</v>
      </c>
      <c r="T73" s="112" t="s">
        <v>2898</v>
      </c>
      <c r="U73" s="112" t="s">
        <v>2957</v>
      </c>
      <c r="V73" s="112" t="s">
        <v>2900</v>
      </c>
      <c r="W73" s="112"/>
      <c r="X73" s="112" t="s">
        <v>2994</v>
      </c>
      <c r="Y73" s="112" t="s">
        <v>3042</v>
      </c>
      <c r="Z73" s="112"/>
      <c r="AA73" s="112" t="s">
        <v>3093</v>
      </c>
      <c r="AB73" s="112" t="s">
        <v>2904</v>
      </c>
    </row>
    <row r="74" spans="1:28" ht="13">
      <c r="A74" s="36">
        <v>73</v>
      </c>
      <c r="B74" s="112" t="s">
        <v>440</v>
      </c>
      <c r="C74" s="38" t="s">
        <v>440</v>
      </c>
      <c r="D74" s="36">
        <v>6</v>
      </c>
      <c r="F74" s="36" t="s">
        <v>395</v>
      </c>
      <c r="G74" s="36" t="s">
        <v>437</v>
      </c>
      <c r="H74" s="36" t="s">
        <v>425</v>
      </c>
      <c r="I74" s="36" t="s">
        <v>302</v>
      </c>
      <c r="J74" s="36" t="s">
        <v>3089</v>
      </c>
      <c r="K74" s="113">
        <v>45548.779861111099</v>
      </c>
      <c r="L74" s="112" t="s">
        <v>2870</v>
      </c>
      <c r="M74" s="112" t="s">
        <v>3068</v>
      </c>
      <c r="N74" s="112"/>
      <c r="O74" s="112" t="s">
        <v>2905</v>
      </c>
      <c r="P74" s="112"/>
      <c r="Q74" s="112" t="s">
        <v>2912</v>
      </c>
      <c r="R74" s="112" t="s">
        <v>2922</v>
      </c>
      <c r="S74" s="112" t="s">
        <v>2897</v>
      </c>
      <c r="T74" s="112" t="s">
        <v>2898</v>
      </c>
      <c r="U74" s="112" t="s">
        <v>3094</v>
      </c>
      <c r="V74" s="112" t="s">
        <v>3</v>
      </c>
      <c r="W74" s="112" t="s">
        <v>3095</v>
      </c>
      <c r="X74" s="112" t="s">
        <v>3095</v>
      </c>
      <c r="Y74" s="112" t="s">
        <v>2958</v>
      </c>
      <c r="Z74" s="112"/>
      <c r="AA74" s="112" t="s">
        <v>2918</v>
      </c>
      <c r="AB74" s="112" t="s">
        <v>2904</v>
      </c>
    </row>
    <row r="75" spans="1:28" ht="13">
      <c r="A75" s="36">
        <v>74</v>
      </c>
      <c r="B75" s="112" t="s">
        <v>3096</v>
      </c>
      <c r="C75" s="38" t="s">
        <v>441</v>
      </c>
      <c r="D75" s="36">
        <v>6</v>
      </c>
      <c r="F75" s="36" t="s">
        <v>395</v>
      </c>
      <c r="G75" s="36" t="s">
        <v>437</v>
      </c>
      <c r="H75" s="36" t="s">
        <v>442</v>
      </c>
      <c r="I75" s="36" t="s">
        <v>302</v>
      </c>
      <c r="J75" s="36" t="s">
        <v>3089</v>
      </c>
      <c r="K75" s="113">
        <v>45548.403472222199</v>
      </c>
      <c r="L75" s="112" t="s">
        <v>2870</v>
      </c>
      <c r="M75" s="112" t="s">
        <v>2893</v>
      </c>
      <c r="N75" s="112"/>
      <c r="O75" s="112" t="s">
        <v>2903</v>
      </c>
      <c r="P75" s="112"/>
      <c r="Q75" s="112" t="s">
        <v>2912</v>
      </c>
      <c r="R75" s="112" t="s">
        <v>2946</v>
      </c>
      <c r="S75" s="112" t="s">
        <v>2926</v>
      </c>
      <c r="T75" s="112" t="s">
        <v>2927</v>
      </c>
      <c r="U75" s="112" t="s">
        <v>2989</v>
      </c>
      <c r="V75" s="112" t="s">
        <v>3</v>
      </c>
      <c r="W75" s="112" t="s">
        <v>2918</v>
      </c>
      <c r="X75" s="112" t="s">
        <v>3097</v>
      </c>
      <c r="Y75" s="112" t="s">
        <v>3098</v>
      </c>
      <c r="Z75" s="112"/>
      <c r="AA75" s="112" t="s">
        <v>2918</v>
      </c>
      <c r="AB75" s="112" t="s">
        <v>2904</v>
      </c>
    </row>
    <row r="76" spans="1:28" ht="13">
      <c r="A76" s="36">
        <v>75</v>
      </c>
      <c r="B76" s="112" t="s">
        <v>443</v>
      </c>
      <c r="C76" s="37" t="s">
        <v>443</v>
      </c>
      <c r="D76" s="36">
        <v>7</v>
      </c>
      <c r="E76" s="38" t="s">
        <v>270</v>
      </c>
      <c r="F76" s="36" t="s">
        <v>395</v>
      </c>
      <c r="G76" s="36" t="s">
        <v>444</v>
      </c>
      <c r="H76" s="36" t="s">
        <v>445</v>
      </c>
      <c r="I76" s="36" t="s">
        <v>307</v>
      </c>
      <c r="J76" s="36" t="s">
        <v>3099</v>
      </c>
      <c r="K76" s="113">
        <v>45547.648611111101</v>
      </c>
      <c r="L76" s="112" t="s">
        <v>2870</v>
      </c>
      <c r="M76" s="112" t="s">
        <v>2936</v>
      </c>
      <c r="N76" s="112"/>
      <c r="O76" s="112" t="s">
        <v>2905</v>
      </c>
      <c r="P76" s="112"/>
      <c r="Q76" s="112" t="s">
        <v>2895</v>
      </c>
      <c r="R76" s="112" t="s">
        <v>2896</v>
      </c>
      <c r="S76" s="112" t="s">
        <v>2906</v>
      </c>
      <c r="T76" s="112" t="s">
        <v>2927</v>
      </c>
      <c r="U76" s="112" t="s">
        <v>2899</v>
      </c>
      <c r="V76" s="112" t="s">
        <v>2944</v>
      </c>
      <c r="W76" s="112"/>
      <c r="X76" s="112" t="s">
        <v>2901</v>
      </c>
      <c r="Y76" s="112" t="s">
        <v>3007</v>
      </c>
      <c r="Z76" s="112"/>
      <c r="AA76" s="112" t="s">
        <v>3100</v>
      </c>
      <c r="AB76" s="112" t="s">
        <v>2904</v>
      </c>
    </row>
    <row r="77" spans="1:28" ht="13">
      <c r="A77" s="36">
        <v>76</v>
      </c>
      <c r="B77" s="112" t="s">
        <v>446</v>
      </c>
      <c r="C77" s="37" t="s">
        <v>446</v>
      </c>
      <c r="D77" s="36">
        <v>7</v>
      </c>
      <c r="F77" s="36" t="s">
        <v>395</v>
      </c>
      <c r="G77" s="36" t="s">
        <v>444</v>
      </c>
      <c r="H77" s="36" t="s">
        <v>445</v>
      </c>
      <c r="I77" s="36" t="s">
        <v>337</v>
      </c>
      <c r="J77" s="36" t="s">
        <v>3099</v>
      </c>
      <c r="K77" s="113">
        <v>45547.671527777798</v>
      </c>
      <c r="L77" s="112" t="s">
        <v>2870</v>
      </c>
      <c r="M77" s="112" t="s">
        <v>2893</v>
      </c>
      <c r="N77" s="112"/>
      <c r="O77" s="112" t="s">
        <v>2903</v>
      </c>
      <c r="P77" s="112"/>
      <c r="Q77" s="112" t="s">
        <v>2912</v>
      </c>
      <c r="R77" s="112" t="s">
        <v>2946</v>
      </c>
      <c r="S77" s="112" t="s">
        <v>2897</v>
      </c>
      <c r="T77" s="112" t="s">
        <v>2927</v>
      </c>
      <c r="U77" s="112" t="s">
        <v>2957</v>
      </c>
      <c r="V77" s="112" t="s">
        <v>3</v>
      </c>
      <c r="W77" s="112" t="s">
        <v>2903</v>
      </c>
      <c r="X77" s="112" t="s">
        <v>2903</v>
      </c>
      <c r="Y77" s="112" t="s">
        <v>3101</v>
      </c>
      <c r="Z77" s="112"/>
      <c r="AA77" s="112" t="s">
        <v>2903</v>
      </c>
      <c r="AB77" s="112" t="s">
        <v>2904</v>
      </c>
    </row>
    <row r="78" spans="1:28" ht="13">
      <c r="A78" s="36">
        <v>77</v>
      </c>
      <c r="B78" s="112" t="s">
        <v>447</v>
      </c>
      <c r="C78" s="37" t="s">
        <v>447</v>
      </c>
      <c r="D78" s="36">
        <v>7</v>
      </c>
      <c r="F78" s="36" t="s">
        <v>395</v>
      </c>
      <c r="G78" s="36" t="s">
        <v>444</v>
      </c>
      <c r="H78" s="36" t="s">
        <v>445</v>
      </c>
      <c r="I78" s="36" t="s">
        <v>337</v>
      </c>
      <c r="J78" s="36" t="s">
        <v>3099</v>
      </c>
      <c r="K78" s="113">
        <v>45549.604166666701</v>
      </c>
      <c r="L78" s="112" t="s">
        <v>2870</v>
      </c>
      <c r="M78" s="112" t="s">
        <v>2893</v>
      </c>
      <c r="N78" s="112"/>
      <c r="O78" s="112" t="s">
        <v>2903</v>
      </c>
      <c r="P78" s="112"/>
      <c r="Q78" s="112" t="s">
        <v>2912</v>
      </c>
      <c r="R78" s="112" t="s">
        <v>2922</v>
      </c>
      <c r="S78" s="112" t="s">
        <v>2906</v>
      </c>
      <c r="T78" s="112" t="s">
        <v>2927</v>
      </c>
      <c r="U78" s="112" t="s">
        <v>2947</v>
      </c>
      <c r="V78" s="112" t="s">
        <v>2900</v>
      </c>
      <c r="W78" s="112"/>
      <c r="X78" s="112" t="s">
        <v>2903</v>
      </c>
      <c r="Y78" s="112" t="s">
        <v>3042</v>
      </c>
      <c r="Z78" s="112"/>
      <c r="AA78" s="112" t="s">
        <v>3102</v>
      </c>
      <c r="AB78" s="112" t="s">
        <v>2904</v>
      </c>
    </row>
    <row r="79" spans="1:28" ht="13">
      <c r="A79" s="36">
        <v>78</v>
      </c>
      <c r="B79" s="112" t="s">
        <v>3103</v>
      </c>
      <c r="C79" s="37" t="s">
        <v>448</v>
      </c>
      <c r="D79" s="36">
        <v>7</v>
      </c>
      <c r="F79" s="36" t="s">
        <v>395</v>
      </c>
      <c r="G79" s="36" t="s">
        <v>444</v>
      </c>
      <c r="H79" s="36" t="s">
        <v>449</v>
      </c>
      <c r="I79" s="36" t="s">
        <v>307</v>
      </c>
      <c r="J79" s="36" t="s">
        <v>3099</v>
      </c>
      <c r="K79" s="113">
        <v>45547.645138888904</v>
      </c>
      <c r="L79" s="112" t="s">
        <v>2870</v>
      </c>
      <c r="M79" s="112" t="s">
        <v>2936</v>
      </c>
      <c r="N79" s="112"/>
      <c r="O79" s="112" t="s">
        <v>3004</v>
      </c>
      <c r="P79" s="112"/>
      <c r="Q79" s="115" t="s">
        <v>2972</v>
      </c>
      <c r="R79" s="112" t="s">
        <v>2896</v>
      </c>
      <c r="S79" s="112" t="s">
        <v>2897</v>
      </c>
      <c r="T79" s="112" t="s">
        <v>2898</v>
      </c>
      <c r="U79" s="112" t="s">
        <v>2915</v>
      </c>
      <c r="V79" s="112" t="s">
        <v>3065</v>
      </c>
      <c r="W79" s="112"/>
      <c r="X79" s="112" t="s">
        <v>2903</v>
      </c>
      <c r="Y79" s="112" t="s">
        <v>2908</v>
      </c>
      <c r="Z79" s="112"/>
      <c r="AA79" s="117" t="s">
        <v>2903</v>
      </c>
      <c r="AB79" s="112" t="s">
        <v>2904</v>
      </c>
    </row>
    <row r="80" spans="1:28" ht="39">
      <c r="A80" s="36">
        <v>79</v>
      </c>
      <c r="B80" s="112" t="s">
        <v>450</v>
      </c>
      <c r="C80" s="37" t="s">
        <v>450</v>
      </c>
      <c r="D80" s="36">
        <v>7</v>
      </c>
      <c r="F80" s="36" t="s">
        <v>395</v>
      </c>
      <c r="G80" s="36" t="s">
        <v>451</v>
      </c>
      <c r="H80" s="36" t="s">
        <v>452</v>
      </c>
      <c r="I80" s="36" t="s">
        <v>330</v>
      </c>
      <c r="J80" s="36" t="s">
        <v>3104</v>
      </c>
      <c r="K80" s="113">
        <v>45547.651388888902</v>
      </c>
      <c r="L80" s="112" t="s">
        <v>2870</v>
      </c>
      <c r="M80" s="112" t="s">
        <v>2936</v>
      </c>
      <c r="N80" s="112"/>
      <c r="O80" s="112" t="s">
        <v>2903</v>
      </c>
      <c r="P80" s="112"/>
      <c r="Q80" s="112" t="s">
        <v>2895</v>
      </c>
      <c r="R80" s="112" t="s">
        <v>2896</v>
      </c>
      <c r="S80" s="112" t="s">
        <v>2897</v>
      </c>
      <c r="T80" s="112" t="s">
        <v>2898</v>
      </c>
      <c r="U80" s="112" t="s">
        <v>2915</v>
      </c>
      <c r="V80" s="112" t="s">
        <v>2978</v>
      </c>
      <c r="W80" s="112" t="s">
        <v>3105</v>
      </c>
      <c r="X80" s="112" t="s">
        <v>2903</v>
      </c>
      <c r="Y80" s="112" t="s">
        <v>2951</v>
      </c>
      <c r="Z80" s="112"/>
      <c r="AA80" s="116" t="s">
        <v>3106</v>
      </c>
      <c r="AB80" s="112" t="s">
        <v>2904</v>
      </c>
    </row>
    <row r="81" spans="1:28" ht="13">
      <c r="A81" s="36">
        <v>80</v>
      </c>
      <c r="B81" s="112" t="s">
        <v>453</v>
      </c>
      <c r="C81" s="37" t="s">
        <v>453</v>
      </c>
      <c r="D81" s="36">
        <v>7</v>
      </c>
      <c r="F81" s="36" t="s">
        <v>395</v>
      </c>
      <c r="G81" s="36" t="s">
        <v>451</v>
      </c>
      <c r="H81" s="36" t="s">
        <v>454</v>
      </c>
      <c r="I81" s="36" t="s">
        <v>302</v>
      </c>
      <c r="J81" s="36" t="s">
        <v>3104</v>
      </c>
      <c r="K81" s="113">
        <v>45548.445833333302</v>
      </c>
      <c r="L81" s="112" t="s">
        <v>2870</v>
      </c>
      <c r="M81" s="112" t="s">
        <v>2911</v>
      </c>
      <c r="N81" s="112"/>
      <c r="O81" s="112" t="s">
        <v>2905</v>
      </c>
      <c r="P81" s="112"/>
      <c r="Q81" s="112" t="s">
        <v>2895</v>
      </c>
      <c r="R81" s="112" t="s">
        <v>2896</v>
      </c>
      <c r="S81" s="112" t="s">
        <v>2897</v>
      </c>
      <c r="T81" s="112" t="s">
        <v>3019</v>
      </c>
      <c r="U81" s="112" t="s">
        <v>2943</v>
      </c>
      <c r="V81" s="112" t="s">
        <v>3065</v>
      </c>
      <c r="W81" s="112"/>
      <c r="X81" s="112" t="s">
        <v>2918</v>
      </c>
      <c r="Y81" s="112" t="s">
        <v>3042</v>
      </c>
      <c r="Z81" s="112"/>
      <c r="AA81" s="112" t="s">
        <v>2918</v>
      </c>
      <c r="AB81" s="112" t="s">
        <v>2904</v>
      </c>
    </row>
    <row r="82" spans="1:28" ht="13">
      <c r="A82" s="36">
        <v>81</v>
      </c>
      <c r="B82" s="112" t="s">
        <v>455</v>
      </c>
      <c r="C82" s="37" t="s">
        <v>455</v>
      </c>
      <c r="D82" s="36">
        <v>7</v>
      </c>
      <c r="F82" s="36" t="s">
        <v>395</v>
      </c>
      <c r="G82" s="36" t="s">
        <v>451</v>
      </c>
      <c r="H82" s="36" t="s">
        <v>445</v>
      </c>
      <c r="I82" s="36" t="s">
        <v>302</v>
      </c>
      <c r="J82" s="36" t="s">
        <v>3104</v>
      </c>
      <c r="K82" s="113">
        <v>45547.647916666698</v>
      </c>
      <c r="L82" s="112" t="s">
        <v>2870</v>
      </c>
      <c r="M82" s="112" t="s">
        <v>2893</v>
      </c>
      <c r="N82" s="112"/>
      <c r="O82" s="112" t="s">
        <v>2903</v>
      </c>
      <c r="P82" s="112"/>
      <c r="Q82" s="112" t="s">
        <v>2912</v>
      </c>
      <c r="R82" s="112" t="s">
        <v>2946</v>
      </c>
      <c r="S82" s="112" t="s">
        <v>2913</v>
      </c>
      <c r="T82" s="112" t="s">
        <v>2927</v>
      </c>
      <c r="U82" s="112" t="s">
        <v>2943</v>
      </c>
      <c r="V82" s="112" t="s">
        <v>3043</v>
      </c>
      <c r="W82" s="112"/>
      <c r="X82" s="112" t="s">
        <v>3066</v>
      </c>
      <c r="Y82" s="112" t="s">
        <v>2908</v>
      </c>
      <c r="Z82" s="112"/>
      <c r="AA82" s="117" t="s">
        <v>3107</v>
      </c>
      <c r="AB82" s="112" t="s">
        <v>2904</v>
      </c>
    </row>
    <row r="83" spans="1:28" ht="13">
      <c r="A83" s="36">
        <v>82</v>
      </c>
      <c r="B83" s="112" t="s">
        <v>456</v>
      </c>
      <c r="C83" s="37" t="s">
        <v>456</v>
      </c>
      <c r="D83" s="36">
        <v>7</v>
      </c>
      <c r="F83" s="36" t="s">
        <v>395</v>
      </c>
      <c r="G83" s="36" t="s">
        <v>451</v>
      </c>
      <c r="H83" s="36" t="s">
        <v>445</v>
      </c>
      <c r="I83" s="36" t="s">
        <v>302</v>
      </c>
      <c r="J83" s="36" t="s">
        <v>3104</v>
      </c>
      <c r="K83" s="113">
        <v>45549.431944444499</v>
      </c>
      <c r="L83" s="112" t="s">
        <v>2870</v>
      </c>
      <c r="M83" s="112" t="s">
        <v>2893</v>
      </c>
      <c r="N83" s="112"/>
      <c r="O83" s="112" t="s">
        <v>2903</v>
      </c>
      <c r="P83" s="112"/>
      <c r="Q83" s="112" t="s">
        <v>2912</v>
      </c>
      <c r="R83" s="112" t="s">
        <v>2922</v>
      </c>
      <c r="S83" s="112" t="s">
        <v>2897</v>
      </c>
      <c r="T83" s="112" t="s">
        <v>2898</v>
      </c>
      <c r="U83" s="112" t="s">
        <v>2989</v>
      </c>
      <c r="V83" s="112" t="s">
        <v>2944</v>
      </c>
      <c r="W83" s="112"/>
      <c r="X83" s="112" t="s">
        <v>2901</v>
      </c>
      <c r="Y83" s="112" t="s">
        <v>3007</v>
      </c>
      <c r="Z83" s="112"/>
      <c r="AA83" s="112" t="s">
        <v>3108</v>
      </c>
      <c r="AB83" s="112" t="s">
        <v>2904</v>
      </c>
    </row>
    <row r="84" spans="1:28" ht="13">
      <c r="A84" s="36">
        <v>83</v>
      </c>
      <c r="B84" s="112" t="s">
        <v>458</v>
      </c>
      <c r="C84" s="37" t="s">
        <v>458</v>
      </c>
      <c r="D84" s="36">
        <v>7</v>
      </c>
      <c r="F84" s="36" t="s">
        <v>395</v>
      </c>
      <c r="G84" s="36" t="s">
        <v>459</v>
      </c>
      <c r="H84" s="36" t="s">
        <v>460</v>
      </c>
      <c r="I84" s="36" t="s">
        <v>302</v>
      </c>
      <c r="J84" s="36" t="s">
        <v>3109</v>
      </c>
      <c r="K84" s="113">
        <v>45547.6472222222</v>
      </c>
      <c r="L84" s="112" t="s">
        <v>2870</v>
      </c>
      <c r="M84" s="112" t="s">
        <v>2911</v>
      </c>
      <c r="N84" s="112"/>
      <c r="O84" s="112" t="s">
        <v>2903</v>
      </c>
      <c r="P84" s="112"/>
      <c r="Q84" s="112" t="s">
        <v>2895</v>
      </c>
      <c r="R84" s="112" t="s">
        <v>2922</v>
      </c>
      <c r="S84" s="112" t="s">
        <v>2897</v>
      </c>
      <c r="T84" s="112" t="s">
        <v>2914</v>
      </c>
      <c r="U84" s="112" t="s">
        <v>2943</v>
      </c>
      <c r="V84" s="112" t="s">
        <v>2900</v>
      </c>
      <c r="W84" s="112"/>
      <c r="X84" s="112" t="s">
        <v>2903</v>
      </c>
      <c r="Y84" s="112" t="s">
        <v>2951</v>
      </c>
      <c r="Z84" s="112"/>
      <c r="AA84" s="112" t="s">
        <v>2903</v>
      </c>
      <c r="AB84" s="112" t="s">
        <v>2904</v>
      </c>
    </row>
    <row r="85" spans="1:28" ht="13">
      <c r="A85" s="36">
        <v>84</v>
      </c>
      <c r="B85" s="112" t="s">
        <v>461</v>
      </c>
      <c r="C85" s="37" t="s">
        <v>461</v>
      </c>
      <c r="D85" s="36">
        <v>7</v>
      </c>
      <c r="F85" s="36" t="s">
        <v>395</v>
      </c>
      <c r="G85" s="36" t="s">
        <v>459</v>
      </c>
      <c r="H85" s="36" t="s">
        <v>462</v>
      </c>
      <c r="I85" s="36" t="s">
        <v>302</v>
      </c>
      <c r="J85" s="36" t="s">
        <v>3109</v>
      </c>
      <c r="K85" s="113">
        <v>45547.645833333299</v>
      </c>
      <c r="L85" s="112" t="s">
        <v>2870</v>
      </c>
      <c r="M85" s="112" t="s">
        <v>2893</v>
      </c>
      <c r="N85" s="112"/>
      <c r="O85" s="112" t="s">
        <v>2903</v>
      </c>
      <c r="P85" s="112"/>
      <c r="Q85" s="112" t="s">
        <v>2912</v>
      </c>
      <c r="R85" s="112" t="s">
        <v>2922</v>
      </c>
      <c r="S85" s="112" t="s">
        <v>2897</v>
      </c>
      <c r="T85" s="112" t="s">
        <v>2898</v>
      </c>
      <c r="U85" s="112" t="s">
        <v>2957</v>
      </c>
      <c r="V85" s="112" t="s">
        <v>3</v>
      </c>
      <c r="W85" s="112" t="s">
        <v>2903</v>
      </c>
      <c r="X85" s="112" t="s">
        <v>2903</v>
      </c>
      <c r="Y85" s="112" t="s">
        <v>3042</v>
      </c>
      <c r="Z85" s="112"/>
      <c r="AA85" s="112" t="s">
        <v>3110</v>
      </c>
      <c r="AB85" s="112" t="s">
        <v>2904</v>
      </c>
    </row>
    <row r="86" spans="1:28" ht="13">
      <c r="A86" s="36">
        <v>85</v>
      </c>
      <c r="B86" s="112" t="s">
        <v>3111</v>
      </c>
      <c r="C86" s="37" t="s">
        <v>463</v>
      </c>
      <c r="D86" s="36">
        <v>7</v>
      </c>
      <c r="F86" s="36" t="s">
        <v>395</v>
      </c>
      <c r="G86" s="36" t="s">
        <v>459</v>
      </c>
      <c r="H86" s="36" t="s">
        <v>464</v>
      </c>
      <c r="I86" s="36" t="s">
        <v>302</v>
      </c>
      <c r="J86" s="36" t="s">
        <v>3109</v>
      </c>
      <c r="K86" s="113">
        <v>45547.648611111101</v>
      </c>
      <c r="L86" s="112" t="s">
        <v>2870</v>
      </c>
      <c r="M86" s="112" t="s">
        <v>2911</v>
      </c>
      <c r="N86" s="112"/>
      <c r="O86" s="112" t="s">
        <v>2905</v>
      </c>
      <c r="P86" s="112"/>
      <c r="Q86" s="112" t="s">
        <v>2895</v>
      </c>
      <c r="R86" s="112" t="s">
        <v>2922</v>
      </c>
      <c r="S86" s="112" t="s">
        <v>2897</v>
      </c>
      <c r="T86" s="112" t="s">
        <v>2898</v>
      </c>
      <c r="U86" s="112" t="s">
        <v>2989</v>
      </c>
      <c r="V86" s="112" t="s">
        <v>2901</v>
      </c>
      <c r="W86" s="112"/>
      <c r="X86" s="112" t="s">
        <v>2903</v>
      </c>
      <c r="Y86" s="112" t="s">
        <v>3042</v>
      </c>
      <c r="Z86" s="112"/>
      <c r="AA86" s="112" t="s">
        <v>2903</v>
      </c>
      <c r="AB86" s="112" t="s">
        <v>2904</v>
      </c>
    </row>
    <row r="87" spans="1:28" ht="13">
      <c r="A87" s="36">
        <v>86</v>
      </c>
      <c r="B87" s="112" t="s">
        <v>3112</v>
      </c>
      <c r="C87" s="37" t="s">
        <v>465</v>
      </c>
      <c r="D87" s="36">
        <v>7</v>
      </c>
      <c r="F87" s="36" t="s">
        <v>395</v>
      </c>
      <c r="G87" s="36" t="s">
        <v>459</v>
      </c>
      <c r="H87" s="36" t="s">
        <v>464</v>
      </c>
      <c r="I87" s="36" t="s">
        <v>302</v>
      </c>
      <c r="J87" s="36" t="s">
        <v>3109</v>
      </c>
      <c r="K87" s="113">
        <v>45548.384722222203</v>
      </c>
      <c r="L87" s="112" t="s">
        <v>2870</v>
      </c>
      <c r="M87" s="112" t="s">
        <v>2936</v>
      </c>
      <c r="N87" s="112"/>
      <c r="O87" s="112" t="s">
        <v>2903</v>
      </c>
      <c r="P87" s="112"/>
      <c r="Q87" s="112" t="s">
        <v>2912</v>
      </c>
      <c r="R87" s="112" t="s">
        <v>2946</v>
      </c>
      <c r="S87" s="112" t="s">
        <v>3018</v>
      </c>
      <c r="T87" s="112" t="s">
        <v>2914</v>
      </c>
      <c r="U87" s="112" t="s">
        <v>2989</v>
      </c>
      <c r="V87" s="112" t="s">
        <v>2900</v>
      </c>
      <c r="W87" s="112"/>
      <c r="X87" s="112" t="s">
        <v>2918</v>
      </c>
      <c r="Y87" s="112" t="s">
        <v>3007</v>
      </c>
      <c r="Z87" s="112"/>
      <c r="AA87" s="112" t="s">
        <v>2918</v>
      </c>
      <c r="AB87" s="112" t="s">
        <v>2904</v>
      </c>
    </row>
  </sheetData>
  <autoFilter ref="B1:AB87" xr:uid="{00000000-0009-0000-0000-000000000000}">
    <sortState ref="B2:AB87">
      <sortCondition descending="1" ref="G1:G87"/>
    </sortState>
  </autoFilter>
  <phoneticPr fontId="35"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学员积分明细(12.9备份)">
    <tabColor rgb="FFFFFFFF"/>
  </sheetPr>
  <dimension ref="A1:CP201"/>
  <sheetViews>
    <sheetView workbookViewId="0">
      <pane xSplit="4" ySplit="3" topLeftCell="E4" activePane="bottomRight" state="frozen"/>
      <selection pane="topRight"/>
      <selection pane="bottomLeft"/>
      <selection pane="bottomRight" activeCell="E4" sqref="E4"/>
    </sheetView>
  </sheetViews>
  <sheetFormatPr defaultRowHeight="14"/>
  <cols>
    <col min="1" max="1" width="12.26953125" style="36" customWidth="1"/>
    <col min="2" max="2" width="17.90625" style="36" customWidth="1"/>
    <col min="3" max="3" width="8.08984375" style="36" customWidth="1"/>
    <col min="4" max="4" width="10.54296875" style="36" customWidth="1"/>
    <col min="5" max="5" width="22.81640625" style="36" customWidth="1"/>
    <col min="6" max="6" width="17.36328125" style="36" hidden="1" customWidth="1"/>
    <col min="7" max="7" width="19.7265625" style="133" hidden="1" customWidth="1"/>
    <col min="8" max="8" width="19.26953125" style="39" hidden="1" customWidth="1"/>
    <col min="9" max="9" width="19.26953125" style="36" hidden="1" customWidth="1"/>
    <col min="10" max="10" width="19.26953125" style="36" customWidth="1"/>
    <col min="12" max="12" width="16.1796875" style="26" customWidth="1"/>
    <col min="18" max="18" width="19.1796875" customWidth="1"/>
    <col min="21" max="21" width="16.1796875" customWidth="1"/>
    <col min="23" max="23" width="17.81640625" customWidth="1"/>
    <col min="26" max="26" width="19.1796875" customWidth="1"/>
    <col min="28" max="28" width="16.08984375" customWidth="1"/>
    <col min="31" max="31" width="15.54296875" customWidth="1"/>
    <col min="37" max="37" width="15" style="26" customWidth="1"/>
    <col min="39" max="39" width="13.453125" customWidth="1"/>
    <col min="43" max="44" width="17.90625" customWidth="1"/>
    <col min="45" max="46" width="17.90625" style="26" customWidth="1"/>
    <col min="49" max="49" width="15.90625" customWidth="1"/>
    <col min="52" max="52" width="19.1796875" customWidth="1"/>
    <col min="55" max="55" width="15.81640625" style="26" customWidth="1"/>
    <col min="57" max="57" width="17.08984375" style="26" customWidth="1"/>
    <col min="60" max="60" width="18.90625" customWidth="1"/>
    <col min="63" max="63" width="14.7265625" style="26" customWidth="1"/>
    <col min="65" max="65" width="15.90625" style="26" customWidth="1"/>
    <col min="68" max="68" width="24.54296875" customWidth="1"/>
    <col min="71" max="71" width="14.7265625" style="26" customWidth="1"/>
    <col min="73" max="73" width="15.90625" style="26" customWidth="1"/>
    <col min="76" max="77" width="13.90625" style="26" customWidth="1"/>
    <col min="78" max="78" width="21" customWidth="1"/>
    <col min="79" max="79" width="14" style="26" customWidth="1"/>
    <col min="80" max="80" width="11.453125" style="26" customWidth="1"/>
    <col min="83" max="83" width="18.90625" style="26" customWidth="1"/>
  </cols>
  <sheetData>
    <row r="1" spans="1:94" ht="13">
      <c r="A1" s="164" t="s">
        <v>4046</v>
      </c>
      <c r="B1" s="163"/>
      <c r="C1" s="163"/>
      <c r="D1" s="163"/>
      <c r="E1" s="163"/>
      <c r="F1" s="163"/>
      <c r="G1" s="163"/>
      <c r="H1" s="163"/>
      <c r="I1" s="18"/>
      <c r="J1" s="19"/>
      <c r="K1" s="162"/>
      <c r="L1" s="163"/>
      <c r="M1" s="163"/>
      <c r="N1" s="163"/>
      <c r="O1" s="163"/>
      <c r="P1" s="163"/>
      <c r="Q1" s="163"/>
      <c r="R1" s="163"/>
      <c r="S1" s="20"/>
      <c r="T1" s="21"/>
      <c r="U1" s="21"/>
      <c r="V1" s="21"/>
      <c r="W1" s="21"/>
      <c r="X1" s="22"/>
      <c r="Y1" s="21"/>
      <c r="Z1" s="21"/>
      <c r="AA1" s="21"/>
      <c r="AB1" s="21"/>
      <c r="AC1" s="21"/>
      <c r="AD1" s="21"/>
      <c r="AE1" s="21"/>
      <c r="AF1" s="21"/>
      <c r="AG1" s="21"/>
      <c r="AH1" s="21"/>
      <c r="AI1" s="22"/>
      <c r="AJ1" s="22"/>
      <c r="AK1" s="22"/>
      <c r="AL1" s="22"/>
      <c r="AM1" s="21"/>
      <c r="AN1" s="21"/>
      <c r="AO1" s="21"/>
      <c r="AP1" s="21"/>
      <c r="AQ1" s="23"/>
      <c r="AR1" s="21"/>
      <c r="AS1" s="24"/>
      <c r="AT1" s="24"/>
      <c r="AU1" s="25"/>
      <c r="BA1" s="25"/>
      <c r="BB1" s="25"/>
      <c r="BC1" s="25"/>
      <c r="BD1" s="25"/>
      <c r="BE1" s="25"/>
      <c r="BI1" s="25"/>
      <c r="BJ1" s="25"/>
      <c r="BK1" s="25"/>
      <c r="BL1" s="25"/>
      <c r="BM1" s="25"/>
      <c r="BO1" s="25"/>
      <c r="BQ1" s="26"/>
      <c r="BR1" s="26"/>
      <c r="BT1" s="26"/>
      <c r="BY1" s="25"/>
      <c r="CA1" s="25"/>
      <c r="CB1" s="25"/>
      <c r="CC1" s="25"/>
      <c r="CD1" s="25"/>
      <c r="CE1" s="25"/>
      <c r="CI1" s="27"/>
      <c r="CJ1" s="27"/>
      <c r="CK1" s="27"/>
      <c r="CL1" s="27"/>
      <c r="CM1" s="27"/>
      <c r="CN1" s="27"/>
      <c r="CO1" s="27"/>
      <c r="CP1" s="27"/>
    </row>
    <row r="2" spans="1:94" ht="13">
      <c r="A2" s="135" t="s">
        <v>245</v>
      </c>
      <c r="B2" s="135" t="s">
        <v>246</v>
      </c>
      <c r="C2" s="135" t="s">
        <v>247</v>
      </c>
      <c r="D2" s="135" t="s">
        <v>248</v>
      </c>
      <c r="E2" s="135" t="s">
        <v>249</v>
      </c>
      <c r="F2" s="135" t="s">
        <v>250</v>
      </c>
      <c r="G2" s="135" t="s">
        <v>251</v>
      </c>
      <c r="H2" s="136" t="s">
        <v>252</v>
      </c>
      <c r="I2" s="137" t="s">
        <v>253</v>
      </c>
      <c r="J2" s="161" t="s">
        <v>254</v>
      </c>
      <c r="K2" s="28">
        <v>45593</v>
      </c>
      <c r="L2" s="28">
        <v>45574</v>
      </c>
      <c r="M2" s="28">
        <v>45575</v>
      </c>
      <c r="N2" s="28">
        <v>45576</v>
      </c>
      <c r="O2" s="28">
        <v>45577</v>
      </c>
      <c r="P2" s="138" t="s">
        <v>255</v>
      </c>
      <c r="Q2" s="138" t="s">
        <v>256</v>
      </c>
      <c r="R2" s="138" t="s">
        <v>257</v>
      </c>
      <c r="S2" s="29">
        <v>45579</v>
      </c>
      <c r="T2" s="29">
        <v>45580</v>
      </c>
      <c r="U2" s="29">
        <v>45581</v>
      </c>
      <c r="V2" s="29">
        <v>45582</v>
      </c>
      <c r="W2" s="29">
        <v>45585</v>
      </c>
      <c r="X2" s="144" t="s">
        <v>255</v>
      </c>
      <c r="Y2" s="144" t="s">
        <v>256</v>
      </c>
      <c r="Z2" s="144" t="s">
        <v>257</v>
      </c>
      <c r="AA2" s="28">
        <v>45586</v>
      </c>
      <c r="AB2" s="28">
        <v>45587</v>
      </c>
      <c r="AC2" s="28">
        <v>45588</v>
      </c>
      <c r="AD2" s="28">
        <v>45589</v>
      </c>
      <c r="AE2" s="28">
        <v>45592</v>
      </c>
      <c r="AF2" s="160" t="s">
        <v>255</v>
      </c>
      <c r="AG2" s="160" t="s">
        <v>256</v>
      </c>
      <c r="AH2" s="160" t="s">
        <v>257</v>
      </c>
      <c r="AI2" s="29">
        <v>45593</v>
      </c>
      <c r="AJ2" s="29">
        <v>45594</v>
      </c>
      <c r="AK2" s="29">
        <v>45595</v>
      </c>
      <c r="AL2" s="29">
        <v>45596</v>
      </c>
      <c r="AM2" s="29">
        <v>45599</v>
      </c>
      <c r="AN2" s="152" t="s">
        <v>255</v>
      </c>
      <c r="AO2" s="152" t="s">
        <v>256</v>
      </c>
      <c r="AP2" s="152" t="s">
        <v>257</v>
      </c>
      <c r="AQ2" s="155" t="s">
        <v>258</v>
      </c>
      <c r="AR2" s="145" t="s">
        <v>259</v>
      </c>
      <c r="AS2" s="29">
        <v>45600</v>
      </c>
      <c r="AT2" s="29">
        <v>45601</v>
      </c>
      <c r="AU2" s="29">
        <v>45602</v>
      </c>
      <c r="AV2" s="29">
        <v>45603</v>
      </c>
      <c r="AW2" s="29">
        <v>45606</v>
      </c>
      <c r="AX2" s="146" t="s">
        <v>255</v>
      </c>
      <c r="AY2" s="146" t="s">
        <v>256</v>
      </c>
      <c r="AZ2" s="148" t="s">
        <v>257</v>
      </c>
      <c r="BA2" s="29">
        <v>45607</v>
      </c>
      <c r="BB2" s="29">
        <v>45608</v>
      </c>
      <c r="BC2" s="29">
        <v>45609</v>
      </c>
      <c r="BD2" s="29">
        <v>45610</v>
      </c>
      <c r="BE2" s="29">
        <v>45613</v>
      </c>
      <c r="BF2" s="146" t="s">
        <v>255</v>
      </c>
      <c r="BG2" s="146" t="s">
        <v>256</v>
      </c>
      <c r="BH2" s="148" t="s">
        <v>257</v>
      </c>
      <c r="BI2" s="29">
        <v>45614</v>
      </c>
      <c r="BJ2" s="29">
        <v>45615</v>
      </c>
      <c r="BK2" s="29">
        <v>45616</v>
      </c>
      <c r="BL2" s="29">
        <v>45617</v>
      </c>
      <c r="BM2" s="29">
        <v>45620</v>
      </c>
      <c r="BN2" s="146" t="s">
        <v>255</v>
      </c>
      <c r="BO2" s="146" t="s">
        <v>256</v>
      </c>
      <c r="BP2" s="146" t="s">
        <v>257</v>
      </c>
      <c r="BQ2" s="29">
        <v>45621</v>
      </c>
      <c r="BR2" s="29">
        <v>45622</v>
      </c>
      <c r="BS2" s="29">
        <v>45623</v>
      </c>
      <c r="BT2" s="29">
        <v>45624</v>
      </c>
      <c r="BU2" s="29">
        <v>45627</v>
      </c>
      <c r="BV2" s="146" t="s">
        <v>255</v>
      </c>
      <c r="BW2" s="146" t="s">
        <v>256</v>
      </c>
      <c r="BX2" s="144" t="s">
        <v>260</v>
      </c>
      <c r="BY2" s="146" t="s">
        <v>261</v>
      </c>
      <c r="BZ2" s="148" t="s">
        <v>257</v>
      </c>
      <c r="CA2" s="29">
        <v>45628</v>
      </c>
      <c r="CB2" s="29">
        <v>45629</v>
      </c>
      <c r="CC2" s="29">
        <v>45630</v>
      </c>
      <c r="CD2" s="29">
        <v>45631</v>
      </c>
      <c r="CE2" s="29">
        <v>45634</v>
      </c>
      <c r="CF2" s="146" t="s">
        <v>255</v>
      </c>
      <c r="CG2" s="146" t="s">
        <v>256</v>
      </c>
      <c r="CH2" s="148" t="s">
        <v>257</v>
      </c>
      <c r="CI2" s="29">
        <v>45635</v>
      </c>
      <c r="CJ2" s="29">
        <v>45636</v>
      </c>
      <c r="CK2" s="29">
        <v>45637</v>
      </c>
      <c r="CL2" s="29">
        <v>45638</v>
      </c>
      <c r="CM2" s="29">
        <v>45641</v>
      </c>
      <c r="CN2" s="146" t="s">
        <v>255</v>
      </c>
      <c r="CO2" s="146" t="s">
        <v>256</v>
      </c>
      <c r="CP2" s="146" t="s">
        <v>257</v>
      </c>
    </row>
    <row r="3" spans="1:94" ht="26">
      <c r="A3" s="150"/>
      <c r="B3" s="150"/>
      <c r="C3" s="150"/>
      <c r="D3" s="150"/>
      <c r="E3" s="150"/>
      <c r="F3" s="150"/>
      <c r="G3" s="150"/>
      <c r="H3" s="150"/>
      <c r="I3" s="157"/>
      <c r="J3" s="157"/>
      <c r="K3" s="30" t="s">
        <v>262</v>
      </c>
      <c r="L3" s="31" t="s">
        <v>263</v>
      </c>
      <c r="M3" s="30" t="s">
        <v>264</v>
      </c>
      <c r="N3" s="30" t="s">
        <v>265</v>
      </c>
      <c r="O3" s="30" t="s">
        <v>266</v>
      </c>
      <c r="P3" s="150"/>
      <c r="Q3" s="150"/>
      <c r="R3" s="150"/>
      <c r="S3" s="32" t="s">
        <v>267</v>
      </c>
      <c r="T3" s="32" t="s">
        <v>262</v>
      </c>
      <c r="U3" s="33" t="s">
        <v>263</v>
      </c>
      <c r="V3" s="32" t="s">
        <v>264</v>
      </c>
      <c r="W3" s="32" t="s">
        <v>268</v>
      </c>
      <c r="X3" s="150"/>
      <c r="Y3" s="150"/>
      <c r="Z3" s="150"/>
      <c r="AA3" s="30" t="s">
        <v>267</v>
      </c>
      <c r="AB3" s="31" t="s">
        <v>262</v>
      </c>
      <c r="AC3" s="30" t="s">
        <v>263</v>
      </c>
      <c r="AD3" s="30" t="s">
        <v>264</v>
      </c>
      <c r="AE3" s="30" t="s">
        <v>268</v>
      </c>
      <c r="AF3" s="153"/>
      <c r="AG3" s="153"/>
      <c r="AH3" s="153"/>
      <c r="AI3" s="32" t="s">
        <v>267</v>
      </c>
      <c r="AJ3" s="32" t="s">
        <v>262</v>
      </c>
      <c r="AK3" s="33" t="s">
        <v>263</v>
      </c>
      <c r="AL3" s="32" t="s">
        <v>264</v>
      </c>
      <c r="AM3" s="32" t="s">
        <v>268</v>
      </c>
      <c r="AN3" s="153"/>
      <c r="AO3" s="153"/>
      <c r="AP3" s="154"/>
      <c r="AQ3" s="156"/>
      <c r="AR3" s="157"/>
      <c r="AS3" s="32" t="s">
        <v>267</v>
      </c>
      <c r="AT3" s="32" t="s">
        <v>262</v>
      </c>
      <c r="AU3" s="33" t="s">
        <v>263</v>
      </c>
      <c r="AV3" s="32" t="s">
        <v>264</v>
      </c>
      <c r="AW3" s="32" t="s">
        <v>268</v>
      </c>
      <c r="AX3" s="147"/>
      <c r="AY3" s="147"/>
      <c r="AZ3" s="149"/>
      <c r="BA3" s="32" t="s">
        <v>267</v>
      </c>
      <c r="BB3" s="32" t="s">
        <v>262</v>
      </c>
      <c r="BC3" s="33" t="s">
        <v>263</v>
      </c>
      <c r="BD3" s="32" t="s">
        <v>264</v>
      </c>
      <c r="BE3" s="32" t="s">
        <v>268</v>
      </c>
      <c r="BF3" s="147"/>
      <c r="BG3" s="147"/>
      <c r="BH3" s="149"/>
      <c r="BI3" s="32" t="s">
        <v>267</v>
      </c>
      <c r="BJ3" s="32" t="s">
        <v>262</v>
      </c>
      <c r="BK3" s="33" t="s">
        <v>263</v>
      </c>
      <c r="BL3" s="32" t="s">
        <v>264</v>
      </c>
      <c r="BM3" s="32" t="s">
        <v>268</v>
      </c>
      <c r="BN3" s="147"/>
      <c r="BO3" s="147"/>
      <c r="BP3" s="147"/>
      <c r="BQ3" s="32" t="s">
        <v>267</v>
      </c>
      <c r="BR3" s="32" t="s">
        <v>262</v>
      </c>
      <c r="BS3" s="33" t="s">
        <v>263</v>
      </c>
      <c r="BT3" s="32" t="s">
        <v>264</v>
      </c>
      <c r="BU3" s="32" t="s">
        <v>268</v>
      </c>
      <c r="BV3" s="147"/>
      <c r="BW3" s="147"/>
      <c r="BX3" s="150"/>
      <c r="BY3" s="150"/>
      <c r="BZ3" s="149"/>
      <c r="CA3" s="32" t="s">
        <v>267</v>
      </c>
      <c r="CB3" s="32" t="s">
        <v>262</v>
      </c>
      <c r="CC3" s="33" t="s">
        <v>263</v>
      </c>
      <c r="CD3" s="32" t="s">
        <v>264</v>
      </c>
      <c r="CE3" s="32" t="s">
        <v>268</v>
      </c>
      <c r="CF3" s="147"/>
      <c r="CG3" s="147"/>
      <c r="CH3" s="149"/>
      <c r="CI3" s="32" t="s">
        <v>267</v>
      </c>
      <c r="CJ3" s="32" t="s">
        <v>262</v>
      </c>
      <c r="CK3" s="33" t="s">
        <v>263</v>
      </c>
      <c r="CL3" s="32" t="s">
        <v>264</v>
      </c>
      <c r="CM3" s="32" t="s">
        <v>268</v>
      </c>
      <c r="CN3" s="151"/>
      <c r="CO3" s="151"/>
      <c r="CP3" s="147"/>
    </row>
    <row r="4" spans="1:94" ht="13">
      <c r="A4" s="36">
        <v>1</v>
      </c>
      <c r="B4" s="37" t="s">
        <v>269</v>
      </c>
      <c r="C4" s="36">
        <v>1</v>
      </c>
      <c r="D4" s="38" t="s">
        <v>270</v>
      </c>
      <c r="E4" s="36" t="s">
        <v>271</v>
      </c>
      <c r="F4" s="36" t="s">
        <v>272</v>
      </c>
      <c r="G4" s="36" t="s">
        <v>273</v>
      </c>
      <c r="H4" s="39" t="s">
        <v>274</v>
      </c>
      <c r="I4" s="40" t="s">
        <v>275</v>
      </c>
      <c r="J4" s="40">
        <f t="shared" ref="J4:J35" si="0">AR4+BY4</f>
        <v>315</v>
      </c>
      <c r="K4" s="41">
        <v>5</v>
      </c>
      <c r="L4" s="42">
        <v>5</v>
      </c>
      <c r="M4" s="41">
        <v>5</v>
      </c>
      <c r="N4" s="41">
        <v>5</v>
      </c>
      <c r="O4" s="41">
        <v>5</v>
      </c>
      <c r="P4" s="41">
        <v>10</v>
      </c>
      <c r="Q4" s="43">
        <f t="shared" ref="Q4:Q35" si="1">SUM(K4:P4)</f>
        <v>35</v>
      </c>
      <c r="R4" s="34" t="s">
        <v>276</v>
      </c>
      <c r="S4" s="41">
        <v>5</v>
      </c>
      <c r="T4" s="41">
        <v>5</v>
      </c>
      <c r="U4" s="41">
        <v>5</v>
      </c>
      <c r="V4" s="41">
        <v>5</v>
      </c>
      <c r="W4" s="41">
        <v>5</v>
      </c>
      <c r="X4" s="36">
        <v>10</v>
      </c>
      <c r="Y4" s="36">
        <f t="shared" ref="Y4:Y26" si="2">SUM(S4:X4)</f>
        <v>35</v>
      </c>
      <c r="Z4" s="34" t="s">
        <v>276</v>
      </c>
      <c r="AA4" s="41">
        <v>5</v>
      </c>
      <c r="AB4" s="41">
        <v>5</v>
      </c>
      <c r="AC4" s="41">
        <v>5</v>
      </c>
      <c r="AD4" s="41">
        <v>5</v>
      </c>
      <c r="AE4" s="41">
        <v>5</v>
      </c>
      <c r="AF4" s="34">
        <v>10</v>
      </c>
      <c r="AG4" s="36">
        <f t="shared" ref="AG4:AG26" si="3">SUM(AA4:AF4)</f>
        <v>35</v>
      </c>
      <c r="AH4" s="34" t="s">
        <v>276</v>
      </c>
      <c r="AI4" s="41">
        <v>5</v>
      </c>
      <c r="AJ4" s="41">
        <v>5</v>
      </c>
      <c r="AK4" s="41">
        <v>5</v>
      </c>
      <c r="AL4" s="41">
        <v>5</v>
      </c>
      <c r="AM4" s="41">
        <v>5</v>
      </c>
      <c r="AN4" s="34">
        <v>10</v>
      </c>
      <c r="AO4" s="44">
        <f t="shared" ref="AO4:AO26" si="4">SUM(AI4:AN4)</f>
        <v>35</v>
      </c>
      <c r="AP4" s="34" t="s">
        <v>276</v>
      </c>
      <c r="AQ4" s="34">
        <v>20</v>
      </c>
      <c r="AR4" s="35">
        <f t="shared" ref="AR4:AR35" si="5">Q4+Y4+AG4+AO4+AQ4</f>
        <v>160</v>
      </c>
      <c r="AS4" s="41">
        <v>5</v>
      </c>
      <c r="AT4" s="41">
        <v>5</v>
      </c>
      <c r="AU4" s="41">
        <v>5</v>
      </c>
      <c r="AV4" s="41">
        <v>5</v>
      </c>
      <c r="AW4" s="41">
        <v>5</v>
      </c>
      <c r="AX4" s="34">
        <v>10</v>
      </c>
      <c r="AY4" s="34">
        <f t="shared" ref="AY4:AY35" si="6">SUM(AS4:AX4)</f>
        <v>35</v>
      </c>
      <c r="AZ4" s="34" t="s">
        <v>276</v>
      </c>
      <c r="BA4" s="41">
        <v>5</v>
      </c>
      <c r="BB4" s="41">
        <v>5</v>
      </c>
      <c r="BC4" s="41">
        <v>5</v>
      </c>
      <c r="BD4" s="41">
        <v>5</v>
      </c>
      <c r="BE4" s="41">
        <v>5</v>
      </c>
      <c r="BF4" s="36">
        <v>10</v>
      </c>
      <c r="BG4" s="36">
        <f t="shared" ref="BG4:BG26" si="7">SUM(BA4:BF4)</f>
        <v>35</v>
      </c>
      <c r="BH4" s="45" t="s">
        <v>276</v>
      </c>
      <c r="BI4" s="41">
        <v>5</v>
      </c>
      <c r="BJ4" s="36">
        <v>5</v>
      </c>
      <c r="BK4" s="41">
        <v>5</v>
      </c>
      <c r="BL4" s="41">
        <v>5</v>
      </c>
      <c r="BM4" s="41">
        <v>5</v>
      </c>
      <c r="BN4" s="26">
        <v>10</v>
      </c>
      <c r="BO4" s="36">
        <f t="shared" ref="BO4:BO26" si="8">SUM(BI4:BN4)</f>
        <v>35</v>
      </c>
      <c r="BP4" s="46" t="s">
        <v>276</v>
      </c>
      <c r="BQ4" s="47">
        <v>5</v>
      </c>
      <c r="BR4" s="47">
        <v>5</v>
      </c>
      <c r="BS4" s="47">
        <v>5</v>
      </c>
      <c r="BT4" s="47">
        <v>5</v>
      </c>
      <c r="BU4" s="47">
        <v>5</v>
      </c>
      <c r="BV4" s="47">
        <v>5</v>
      </c>
      <c r="BW4" s="36">
        <f t="shared" ref="BW4:BW26" si="9">SUM(BQ4:BV4)</f>
        <v>30</v>
      </c>
      <c r="BX4" s="36">
        <v>20</v>
      </c>
      <c r="BY4" s="36">
        <f>AY4+BG4+BO4+BW4+BX4</f>
        <v>155</v>
      </c>
      <c r="BZ4" s="46" t="s">
        <v>277</v>
      </c>
      <c r="CA4" s="47">
        <v>5</v>
      </c>
      <c r="CB4" s="47">
        <v>5</v>
      </c>
      <c r="CC4" s="47">
        <v>5</v>
      </c>
      <c r="CD4" s="47">
        <v>5</v>
      </c>
      <c r="CE4" s="47">
        <v>5</v>
      </c>
      <c r="CF4" s="34"/>
      <c r="CG4" s="34"/>
      <c r="CH4" s="35"/>
    </row>
    <row r="5" spans="1:94" ht="13">
      <c r="A5" s="36">
        <v>2</v>
      </c>
      <c r="B5" s="37" t="s">
        <v>278</v>
      </c>
      <c r="C5" s="36">
        <v>1</v>
      </c>
      <c r="E5" s="36" t="s">
        <v>279</v>
      </c>
      <c r="F5" s="36" t="s">
        <v>280</v>
      </c>
      <c r="G5" s="36" t="s">
        <v>281</v>
      </c>
      <c r="H5" s="39" t="s">
        <v>282</v>
      </c>
      <c r="I5" s="40" t="s">
        <v>275</v>
      </c>
      <c r="J5" s="40">
        <f t="shared" si="0"/>
        <v>315</v>
      </c>
      <c r="K5" s="41">
        <v>5</v>
      </c>
      <c r="L5" s="41">
        <v>5</v>
      </c>
      <c r="M5" s="41">
        <v>5</v>
      </c>
      <c r="N5" s="41">
        <v>5</v>
      </c>
      <c r="O5" s="41">
        <v>5</v>
      </c>
      <c r="P5" s="41">
        <v>10</v>
      </c>
      <c r="Q5" s="43">
        <f t="shared" si="1"/>
        <v>35</v>
      </c>
      <c r="R5" s="34" t="s">
        <v>276</v>
      </c>
      <c r="S5" s="41">
        <v>5</v>
      </c>
      <c r="T5" s="41">
        <v>5</v>
      </c>
      <c r="U5" s="41">
        <v>5</v>
      </c>
      <c r="V5" s="41">
        <v>5</v>
      </c>
      <c r="W5" s="41">
        <v>5</v>
      </c>
      <c r="X5" s="36">
        <v>10</v>
      </c>
      <c r="Y5" s="36">
        <f t="shared" si="2"/>
        <v>35</v>
      </c>
      <c r="Z5" s="46" t="s">
        <v>276</v>
      </c>
      <c r="AA5" s="41">
        <v>5</v>
      </c>
      <c r="AB5" s="41">
        <v>5</v>
      </c>
      <c r="AC5" s="41">
        <v>5</v>
      </c>
      <c r="AD5" s="41">
        <v>5</v>
      </c>
      <c r="AE5" s="41">
        <v>5</v>
      </c>
      <c r="AF5" s="34">
        <v>10</v>
      </c>
      <c r="AG5" s="36">
        <f t="shared" si="3"/>
        <v>35</v>
      </c>
      <c r="AH5" s="34" t="s">
        <v>276</v>
      </c>
      <c r="AI5" s="41">
        <v>5</v>
      </c>
      <c r="AJ5" s="41">
        <v>5</v>
      </c>
      <c r="AK5" s="41">
        <v>5</v>
      </c>
      <c r="AL5" s="41">
        <v>5</v>
      </c>
      <c r="AM5" s="41">
        <v>5</v>
      </c>
      <c r="AN5" s="34">
        <v>10</v>
      </c>
      <c r="AO5" s="48">
        <f t="shared" si="4"/>
        <v>35</v>
      </c>
      <c r="AP5" s="34" t="s">
        <v>276</v>
      </c>
      <c r="AQ5" s="34">
        <v>20</v>
      </c>
      <c r="AR5" s="35">
        <f t="shared" si="5"/>
        <v>160</v>
      </c>
      <c r="AS5" s="41">
        <v>5</v>
      </c>
      <c r="AT5" s="41">
        <v>5</v>
      </c>
      <c r="AU5" s="41">
        <v>5</v>
      </c>
      <c r="AV5" s="41">
        <v>5</v>
      </c>
      <c r="AW5" s="41">
        <v>5</v>
      </c>
      <c r="AX5" s="34">
        <v>10</v>
      </c>
      <c r="AY5" s="34">
        <f t="shared" si="6"/>
        <v>35</v>
      </c>
      <c r="AZ5" s="34" t="s">
        <v>276</v>
      </c>
      <c r="BA5" s="41">
        <v>5</v>
      </c>
      <c r="BB5" s="41">
        <v>5</v>
      </c>
      <c r="BC5" s="41">
        <v>5</v>
      </c>
      <c r="BD5" s="41">
        <v>5</v>
      </c>
      <c r="BE5" s="41">
        <v>5</v>
      </c>
      <c r="BF5" s="36">
        <v>10</v>
      </c>
      <c r="BG5" s="36">
        <f t="shared" si="7"/>
        <v>35</v>
      </c>
      <c r="BH5" s="45" t="s">
        <v>276</v>
      </c>
      <c r="BI5" s="41">
        <v>5</v>
      </c>
      <c r="BJ5" s="36">
        <v>5</v>
      </c>
      <c r="BK5" s="41">
        <v>5</v>
      </c>
      <c r="BL5" s="41">
        <v>5</v>
      </c>
      <c r="BM5" s="49">
        <v>5</v>
      </c>
      <c r="BN5" s="36">
        <v>10</v>
      </c>
      <c r="BO5" s="50">
        <f t="shared" si="8"/>
        <v>35</v>
      </c>
      <c r="BP5" s="46" t="s">
        <v>276</v>
      </c>
      <c r="BQ5" s="47">
        <v>5</v>
      </c>
      <c r="BR5" s="47">
        <v>5</v>
      </c>
      <c r="BS5" s="47">
        <v>5</v>
      </c>
      <c r="BT5" s="47">
        <v>5</v>
      </c>
      <c r="BU5" s="47">
        <v>5</v>
      </c>
      <c r="BV5" s="47">
        <v>5</v>
      </c>
      <c r="BW5" s="36">
        <f t="shared" si="9"/>
        <v>30</v>
      </c>
      <c r="BX5" s="36">
        <v>20</v>
      </c>
      <c r="BY5" s="36">
        <f>AY5+BG5+BO5+BW5+BX5</f>
        <v>155</v>
      </c>
      <c r="BZ5" s="46" t="s">
        <v>277</v>
      </c>
      <c r="CA5" s="47">
        <v>5</v>
      </c>
      <c r="CB5" s="47">
        <v>5</v>
      </c>
      <c r="CC5" s="47">
        <v>5</v>
      </c>
      <c r="CD5" s="47">
        <v>5</v>
      </c>
      <c r="CE5" s="47">
        <v>5</v>
      </c>
      <c r="CF5" s="34"/>
      <c r="CG5" s="34"/>
      <c r="CH5" s="35"/>
    </row>
    <row r="6" spans="1:94" ht="13">
      <c r="A6" s="36">
        <v>3</v>
      </c>
      <c r="B6" s="37" t="s">
        <v>283</v>
      </c>
      <c r="C6" s="36">
        <v>1</v>
      </c>
      <c r="E6" s="36" t="s">
        <v>284</v>
      </c>
      <c r="F6" s="36" t="s">
        <v>280</v>
      </c>
      <c r="G6" s="36" t="s">
        <v>281</v>
      </c>
      <c r="H6" s="39" t="s">
        <v>282</v>
      </c>
      <c r="I6" s="40" t="s">
        <v>275</v>
      </c>
      <c r="J6" s="40">
        <f t="shared" si="0"/>
        <v>315</v>
      </c>
      <c r="K6" s="41">
        <v>5</v>
      </c>
      <c r="L6" s="41">
        <v>5</v>
      </c>
      <c r="M6" s="41">
        <v>5</v>
      </c>
      <c r="N6" s="41">
        <v>5</v>
      </c>
      <c r="O6" s="41">
        <v>5</v>
      </c>
      <c r="P6" s="41">
        <v>10</v>
      </c>
      <c r="Q6" s="43">
        <f t="shared" si="1"/>
        <v>35</v>
      </c>
      <c r="R6" s="34" t="s">
        <v>276</v>
      </c>
      <c r="S6" s="41">
        <v>5</v>
      </c>
      <c r="T6" s="41">
        <v>5</v>
      </c>
      <c r="U6" s="41">
        <v>5</v>
      </c>
      <c r="V6" s="41">
        <v>5</v>
      </c>
      <c r="W6" s="41">
        <v>5</v>
      </c>
      <c r="X6" s="36">
        <v>10</v>
      </c>
      <c r="Y6" s="36">
        <f t="shared" si="2"/>
        <v>35</v>
      </c>
      <c r="Z6" s="46" t="s">
        <v>276</v>
      </c>
      <c r="AA6" s="41">
        <v>5</v>
      </c>
      <c r="AB6" s="41">
        <v>5</v>
      </c>
      <c r="AC6" s="41">
        <v>5</v>
      </c>
      <c r="AD6" s="41">
        <v>5</v>
      </c>
      <c r="AE6" s="41">
        <v>5</v>
      </c>
      <c r="AF6" s="34">
        <v>10</v>
      </c>
      <c r="AG6" s="36">
        <f t="shared" si="3"/>
        <v>35</v>
      </c>
      <c r="AH6" s="34" t="s">
        <v>276</v>
      </c>
      <c r="AI6" s="41">
        <v>5</v>
      </c>
      <c r="AJ6" s="41">
        <v>5</v>
      </c>
      <c r="AK6" s="41">
        <v>5</v>
      </c>
      <c r="AL6" s="41">
        <v>5</v>
      </c>
      <c r="AM6" s="41">
        <v>5</v>
      </c>
      <c r="AN6" s="34">
        <v>10</v>
      </c>
      <c r="AO6" s="48">
        <f t="shared" si="4"/>
        <v>35</v>
      </c>
      <c r="AP6" s="34" t="s">
        <v>276</v>
      </c>
      <c r="AQ6" s="34">
        <v>20</v>
      </c>
      <c r="AR6" s="35">
        <f t="shared" si="5"/>
        <v>160</v>
      </c>
      <c r="AS6" s="41">
        <v>5</v>
      </c>
      <c r="AT6" s="41">
        <v>5</v>
      </c>
      <c r="AU6" s="41">
        <v>5</v>
      </c>
      <c r="AV6" s="41">
        <v>5</v>
      </c>
      <c r="AW6" s="41">
        <v>5</v>
      </c>
      <c r="AX6" s="34">
        <v>10</v>
      </c>
      <c r="AY6" s="34">
        <f t="shared" si="6"/>
        <v>35</v>
      </c>
      <c r="AZ6" s="34" t="s">
        <v>276</v>
      </c>
      <c r="BA6" s="41">
        <v>5</v>
      </c>
      <c r="BB6" s="41">
        <v>5</v>
      </c>
      <c r="BC6" s="41">
        <v>5</v>
      </c>
      <c r="BD6" s="41">
        <v>5</v>
      </c>
      <c r="BE6" s="41">
        <v>5</v>
      </c>
      <c r="BF6" s="36">
        <v>10</v>
      </c>
      <c r="BG6" s="36">
        <f t="shared" si="7"/>
        <v>35</v>
      </c>
      <c r="BH6" s="45" t="s">
        <v>276</v>
      </c>
      <c r="BI6" s="41">
        <v>5</v>
      </c>
      <c r="BJ6" s="36">
        <v>5</v>
      </c>
      <c r="BK6" s="41">
        <v>5</v>
      </c>
      <c r="BL6" s="41">
        <v>5</v>
      </c>
      <c r="BM6" s="49">
        <v>5</v>
      </c>
      <c r="BN6" s="36">
        <v>10</v>
      </c>
      <c r="BO6" s="50">
        <f t="shared" si="8"/>
        <v>35</v>
      </c>
      <c r="BP6" s="46" t="s">
        <v>276</v>
      </c>
      <c r="BQ6" s="47">
        <v>5</v>
      </c>
      <c r="BR6" s="47">
        <v>5</v>
      </c>
      <c r="BS6" s="47">
        <v>5</v>
      </c>
      <c r="BT6" s="47">
        <v>5</v>
      </c>
      <c r="BU6" s="47">
        <v>5</v>
      </c>
      <c r="BV6" s="47">
        <v>5</v>
      </c>
      <c r="BW6" s="36">
        <f t="shared" si="9"/>
        <v>30</v>
      </c>
      <c r="BX6" s="36">
        <v>20</v>
      </c>
      <c r="BY6" s="36">
        <f>AY6+BG6+BO6+BW6+BX6</f>
        <v>155</v>
      </c>
      <c r="BZ6" s="46" t="s">
        <v>277</v>
      </c>
      <c r="CA6" s="47">
        <v>5</v>
      </c>
      <c r="CB6" s="47">
        <v>5</v>
      </c>
      <c r="CC6" s="47">
        <v>5</v>
      </c>
      <c r="CD6" s="47">
        <v>5</v>
      </c>
      <c r="CE6" s="47">
        <v>5</v>
      </c>
      <c r="CF6" s="34"/>
      <c r="CG6" s="34"/>
      <c r="CH6" s="35"/>
    </row>
    <row r="7" spans="1:94" ht="13">
      <c r="A7" s="36">
        <v>4</v>
      </c>
      <c r="B7" s="37" t="s">
        <v>285</v>
      </c>
      <c r="C7" s="36">
        <v>1</v>
      </c>
      <c r="E7" s="36" t="s">
        <v>271</v>
      </c>
      <c r="F7" s="36" t="s">
        <v>286</v>
      </c>
      <c r="G7" s="36" t="s">
        <v>287</v>
      </c>
      <c r="H7" s="39" t="s">
        <v>288</v>
      </c>
      <c r="I7" s="40" t="s">
        <v>275</v>
      </c>
      <c r="J7" s="40">
        <f t="shared" si="0"/>
        <v>315</v>
      </c>
      <c r="K7" s="41">
        <v>5</v>
      </c>
      <c r="L7" s="41">
        <v>5</v>
      </c>
      <c r="M7" s="41">
        <v>5</v>
      </c>
      <c r="N7" s="41">
        <v>5</v>
      </c>
      <c r="O7" s="41">
        <v>5</v>
      </c>
      <c r="P7" s="41">
        <v>10</v>
      </c>
      <c r="Q7" s="43">
        <f t="shared" si="1"/>
        <v>35</v>
      </c>
      <c r="R7" s="34" t="s">
        <v>276</v>
      </c>
      <c r="S7" s="41">
        <v>5</v>
      </c>
      <c r="T7" s="41">
        <v>5</v>
      </c>
      <c r="U7" s="41">
        <v>5</v>
      </c>
      <c r="V7" s="41">
        <v>5</v>
      </c>
      <c r="W7" s="41">
        <v>5</v>
      </c>
      <c r="X7" s="36">
        <v>10</v>
      </c>
      <c r="Y7" s="36">
        <f t="shared" si="2"/>
        <v>35</v>
      </c>
      <c r="Z7" s="46" t="s">
        <v>276</v>
      </c>
      <c r="AA7" s="41">
        <v>5</v>
      </c>
      <c r="AB7" s="41">
        <v>5</v>
      </c>
      <c r="AC7" s="41">
        <v>5</v>
      </c>
      <c r="AD7" s="41">
        <v>5</v>
      </c>
      <c r="AE7" s="41">
        <v>5</v>
      </c>
      <c r="AF7" s="34">
        <v>10</v>
      </c>
      <c r="AG7" s="36">
        <f t="shared" si="3"/>
        <v>35</v>
      </c>
      <c r="AH7" s="34" t="s">
        <v>276</v>
      </c>
      <c r="AI7" s="41">
        <v>5</v>
      </c>
      <c r="AJ7" s="41">
        <v>5</v>
      </c>
      <c r="AK7" s="41">
        <v>5</v>
      </c>
      <c r="AL7" s="41">
        <v>5</v>
      </c>
      <c r="AM7" s="41">
        <v>5</v>
      </c>
      <c r="AN7" s="34">
        <v>10</v>
      </c>
      <c r="AO7" s="48">
        <f t="shared" si="4"/>
        <v>35</v>
      </c>
      <c r="AP7" s="34" t="s">
        <v>276</v>
      </c>
      <c r="AQ7" s="34">
        <v>20</v>
      </c>
      <c r="AR7" s="35">
        <f t="shared" si="5"/>
        <v>160</v>
      </c>
      <c r="AS7" s="41">
        <v>5</v>
      </c>
      <c r="AT7" s="41">
        <v>5</v>
      </c>
      <c r="AU7" s="41">
        <v>5</v>
      </c>
      <c r="AV7" s="41">
        <v>5</v>
      </c>
      <c r="AW7" s="41">
        <v>5</v>
      </c>
      <c r="AX7" s="34">
        <v>10</v>
      </c>
      <c r="AY7" s="34">
        <f t="shared" si="6"/>
        <v>35</v>
      </c>
      <c r="AZ7" s="34" t="s">
        <v>276</v>
      </c>
      <c r="BA7" s="41">
        <v>5</v>
      </c>
      <c r="BB7" s="41">
        <v>5</v>
      </c>
      <c r="BC7" s="41">
        <v>5</v>
      </c>
      <c r="BD7" s="41">
        <v>5</v>
      </c>
      <c r="BE7" s="41">
        <v>5</v>
      </c>
      <c r="BF7" s="36">
        <v>10</v>
      </c>
      <c r="BG7" s="36">
        <f t="shared" si="7"/>
        <v>35</v>
      </c>
      <c r="BH7" s="45" t="s">
        <v>276</v>
      </c>
      <c r="BI7" s="41">
        <v>5</v>
      </c>
      <c r="BJ7" s="36">
        <v>5</v>
      </c>
      <c r="BK7" s="41">
        <v>5</v>
      </c>
      <c r="BL7" s="41">
        <v>5</v>
      </c>
      <c r="BM7" s="49">
        <v>5</v>
      </c>
      <c r="BN7" s="36">
        <v>10</v>
      </c>
      <c r="BO7" s="50">
        <f t="shared" si="8"/>
        <v>35</v>
      </c>
      <c r="BP7" s="46" t="s">
        <v>276</v>
      </c>
      <c r="BQ7" s="47">
        <v>5</v>
      </c>
      <c r="BR7" s="47">
        <v>5</v>
      </c>
      <c r="BS7" s="47">
        <v>5</v>
      </c>
      <c r="BT7" s="47">
        <v>5</v>
      </c>
      <c r="BU7" s="47">
        <v>5</v>
      </c>
      <c r="BV7" s="47">
        <v>5</v>
      </c>
      <c r="BW7" s="36">
        <f t="shared" si="9"/>
        <v>30</v>
      </c>
      <c r="BX7" s="36">
        <v>20</v>
      </c>
      <c r="BY7" s="36">
        <f>AY7+BG7+BO7+BW7+BX7</f>
        <v>155</v>
      </c>
      <c r="BZ7" s="46" t="s">
        <v>277</v>
      </c>
      <c r="CA7" s="47">
        <v>5</v>
      </c>
      <c r="CB7" s="47">
        <v>5</v>
      </c>
      <c r="CC7" s="47">
        <v>5</v>
      </c>
      <c r="CD7" s="47">
        <v>5</v>
      </c>
      <c r="CE7" s="47">
        <v>5</v>
      </c>
      <c r="CF7" s="34"/>
      <c r="CG7" s="34"/>
      <c r="CH7" s="35"/>
    </row>
    <row r="8" spans="1:94" ht="13">
      <c r="A8" s="36">
        <v>5</v>
      </c>
      <c r="B8" s="37" t="s">
        <v>289</v>
      </c>
      <c r="C8" s="36">
        <v>1</v>
      </c>
      <c r="E8" s="36" t="s">
        <v>290</v>
      </c>
      <c r="F8" s="36" t="s">
        <v>286</v>
      </c>
      <c r="G8" s="36" t="s">
        <v>287</v>
      </c>
      <c r="H8" s="39" t="s">
        <v>291</v>
      </c>
      <c r="I8" s="40" t="s">
        <v>275</v>
      </c>
      <c r="J8" s="40">
        <f t="shared" si="0"/>
        <v>205</v>
      </c>
      <c r="K8" s="42" t="s">
        <v>292</v>
      </c>
      <c r="L8" s="41">
        <v>5</v>
      </c>
      <c r="M8" s="41">
        <v>5</v>
      </c>
      <c r="N8" s="41" t="s">
        <v>292</v>
      </c>
      <c r="O8" s="41">
        <v>5</v>
      </c>
      <c r="P8" s="41"/>
      <c r="Q8" s="43">
        <f t="shared" si="1"/>
        <v>15</v>
      </c>
      <c r="R8" s="34"/>
      <c r="S8" s="41">
        <v>5</v>
      </c>
      <c r="T8" s="41">
        <v>5</v>
      </c>
      <c r="U8" s="41">
        <v>5</v>
      </c>
      <c r="V8" s="41">
        <v>5</v>
      </c>
      <c r="W8" s="41">
        <v>5</v>
      </c>
      <c r="X8" s="36">
        <v>10</v>
      </c>
      <c r="Y8" s="36">
        <f t="shared" si="2"/>
        <v>35</v>
      </c>
      <c r="Z8" s="46" t="s">
        <v>276</v>
      </c>
      <c r="AA8" s="41" t="s">
        <v>292</v>
      </c>
      <c r="AB8" s="41">
        <v>5</v>
      </c>
      <c r="AC8" s="41">
        <v>5</v>
      </c>
      <c r="AD8" s="41" t="s">
        <v>292</v>
      </c>
      <c r="AE8" s="41">
        <v>5</v>
      </c>
      <c r="AF8" s="34"/>
      <c r="AG8" s="36">
        <f t="shared" si="3"/>
        <v>15</v>
      </c>
      <c r="AH8" s="34"/>
      <c r="AI8" s="41" t="s">
        <v>292</v>
      </c>
      <c r="AJ8" s="41">
        <v>5</v>
      </c>
      <c r="AK8" s="41">
        <v>5</v>
      </c>
      <c r="AL8" s="41">
        <v>5</v>
      </c>
      <c r="AM8" s="41">
        <v>5</v>
      </c>
      <c r="AN8" s="35"/>
      <c r="AO8" s="48">
        <f t="shared" si="4"/>
        <v>20</v>
      </c>
      <c r="AP8" s="34"/>
      <c r="AQ8" s="51"/>
      <c r="AR8" s="35">
        <f t="shared" si="5"/>
        <v>85</v>
      </c>
      <c r="AS8" s="41">
        <v>5</v>
      </c>
      <c r="AT8" s="41">
        <v>5</v>
      </c>
      <c r="AU8" s="41">
        <v>5</v>
      </c>
      <c r="AV8" s="41">
        <v>5</v>
      </c>
      <c r="AW8" s="41">
        <v>5</v>
      </c>
      <c r="AX8" s="34">
        <v>10</v>
      </c>
      <c r="AY8" s="34">
        <f t="shared" si="6"/>
        <v>35</v>
      </c>
      <c r="AZ8" s="34" t="s">
        <v>276</v>
      </c>
      <c r="BA8" s="41">
        <v>5</v>
      </c>
      <c r="BB8" s="41">
        <v>5</v>
      </c>
      <c r="BC8" s="41">
        <v>5</v>
      </c>
      <c r="BD8" s="41">
        <v>5</v>
      </c>
      <c r="BE8" s="41">
        <v>5</v>
      </c>
      <c r="BF8" s="36">
        <v>10</v>
      </c>
      <c r="BG8" s="36">
        <f t="shared" si="7"/>
        <v>35</v>
      </c>
      <c r="BH8" s="45" t="s">
        <v>276</v>
      </c>
      <c r="BI8" s="41">
        <v>5</v>
      </c>
      <c r="BJ8" s="36">
        <v>5</v>
      </c>
      <c r="BK8" s="41">
        <v>5</v>
      </c>
      <c r="BL8" s="41" t="s">
        <v>292</v>
      </c>
      <c r="BM8" s="41">
        <v>5</v>
      </c>
      <c r="BN8" s="34"/>
      <c r="BO8" s="36">
        <f t="shared" si="8"/>
        <v>20</v>
      </c>
      <c r="BP8" s="34"/>
      <c r="BQ8" s="47">
        <v>5</v>
      </c>
      <c r="BR8" s="47">
        <v>5</v>
      </c>
      <c r="BS8" s="47">
        <v>5</v>
      </c>
      <c r="BT8" s="47">
        <v>5</v>
      </c>
      <c r="BU8" s="47">
        <v>5</v>
      </c>
      <c r="BV8" s="47">
        <v>5</v>
      </c>
      <c r="BW8" s="36">
        <f t="shared" si="9"/>
        <v>30</v>
      </c>
      <c r="BX8" s="36"/>
      <c r="BY8" s="36">
        <f>AY8+BG8+BO8+BW8</f>
        <v>120</v>
      </c>
      <c r="BZ8" s="35"/>
      <c r="CA8" s="47">
        <v>5</v>
      </c>
      <c r="CB8" s="47">
        <v>5</v>
      </c>
      <c r="CC8" s="47">
        <v>5</v>
      </c>
      <c r="CD8" s="47">
        <v>5</v>
      </c>
      <c r="CE8" s="47">
        <v>5</v>
      </c>
      <c r="CF8" s="34"/>
      <c r="CG8" s="34"/>
      <c r="CH8" s="35"/>
    </row>
    <row r="9" spans="1:94" ht="13">
      <c r="A9" s="36">
        <v>6</v>
      </c>
      <c r="B9" s="37" t="s">
        <v>293</v>
      </c>
      <c r="C9" s="36">
        <v>1</v>
      </c>
      <c r="E9" s="36" t="s">
        <v>294</v>
      </c>
      <c r="F9" s="36" t="s">
        <v>286</v>
      </c>
      <c r="G9" s="36" t="s">
        <v>287</v>
      </c>
      <c r="H9" s="39" t="s">
        <v>291</v>
      </c>
      <c r="I9" s="40" t="s">
        <v>295</v>
      </c>
      <c r="J9" s="40">
        <f t="shared" si="0"/>
        <v>315</v>
      </c>
      <c r="K9" s="41">
        <v>5</v>
      </c>
      <c r="L9" s="41">
        <v>5</v>
      </c>
      <c r="M9" s="41">
        <v>5</v>
      </c>
      <c r="N9" s="41">
        <v>5</v>
      </c>
      <c r="O9" s="41">
        <v>5</v>
      </c>
      <c r="P9" s="41">
        <v>10</v>
      </c>
      <c r="Q9" s="43">
        <f t="shared" si="1"/>
        <v>35</v>
      </c>
      <c r="R9" s="34" t="s">
        <v>276</v>
      </c>
      <c r="S9" s="41">
        <v>5</v>
      </c>
      <c r="T9" s="41">
        <v>5</v>
      </c>
      <c r="U9" s="41">
        <v>5</v>
      </c>
      <c r="V9" s="41">
        <v>5</v>
      </c>
      <c r="W9" s="41">
        <v>5</v>
      </c>
      <c r="X9" s="36">
        <v>10</v>
      </c>
      <c r="Y9" s="36">
        <f t="shared" si="2"/>
        <v>35</v>
      </c>
      <c r="Z9" s="46" t="s">
        <v>276</v>
      </c>
      <c r="AA9" s="41">
        <v>5</v>
      </c>
      <c r="AB9" s="41">
        <v>5</v>
      </c>
      <c r="AC9" s="41">
        <v>5</v>
      </c>
      <c r="AD9" s="41">
        <v>5</v>
      </c>
      <c r="AE9" s="41">
        <v>5</v>
      </c>
      <c r="AF9" s="34">
        <v>10</v>
      </c>
      <c r="AG9" s="36">
        <f t="shared" si="3"/>
        <v>35</v>
      </c>
      <c r="AH9" s="34" t="s">
        <v>276</v>
      </c>
      <c r="AI9" s="41">
        <v>5</v>
      </c>
      <c r="AJ9" s="41">
        <v>5</v>
      </c>
      <c r="AK9" s="41">
        <v>5</v>
      </c>
      <c r="AL9" s="41">
        <v>5</v>
      </c>
      <c r="AM9" s="41">
        <v>5</v>
      </c>
      <c r="AN9" s="34">
        <v>10</v>
      </c>
      <c r="AO9" s="48">
        <f t="shared" si="4"/>
        <v>35</v>
      </c>
      <c r="AP9" s="34" t="s">
        <v>276</v>
      </c>
      <c r="AQ9" s="34">
        <v>20</v>
      </c>
      <c r="AR9" s="35">
        <f t="shared" si="5"/>
        <v>160</v>
      </c>
      <c r="AS9" s="41">
        <v>5</v>
      </c>
      <c r="AT9" s="41">
        <v>5</v>
      </c>
      <c r="AU9" s="41">
        <v>5</v>
      </c>
      <c r="AV9" s="41">
        <v>5</v>
      </c>
      <c r="AW9" s="41">
        <v>5</v>
      </c>
      <c r="AX9" s="34">
        <v>10</v>
      </c>
      <c r="AY9" s="34">
        <f t="shared" si="6"/>
        <v>35</v>
      </c>
      <c r="AZ9" s="34" t="s">
        <v>276</v>
      </c>
      <c r="BA9" s="41">
        <v>5</v>
      </c>
      <c r="BB9" s="41">
        <v>5</v>
      </c>
      <c r="BC9" s="41">
        <v>5</v>
      </c>
      <c r="BD9" s="41">
        <v>5</v>
      </c>
      <c r="BE9" s="41">
        <v>5</v>
      </c>
      <c r="BF9" s="36">
        <v>10</v>
      </c>
      <c r="BG9" s="36">
        <f t="shared" si="7"/>
        <v>35</v>
      </c>
      <c r="BH9" s="45" t="s">
        <v>276</v>
      </c>
      <c r="BI9" s="41">
        <v>5</v>
      </c>
      <c r="BJ9" s="36">
        <v>5</v>
      </c>
      <c r="BK9" s="41">
        <v>5</v>
      </c>
      <c r="BL9" s="41">
        <v>5</v>
      </c>
      <c r="BM9" s="49">
        <v>5</v>
      </c>
      <c r="BN9" s="36">
        <v>10</v>
      </c>
      <c r="BO9" s="50">
        <f t="shared" si="8"/>
        <v>35</v>
      </c>
      <c r="BP9" s="46" t="s">
        <v>276</v>
      </c>
      <c r="BQ9" s="47">
        <v>5</v>
      </c>
      <c r="BR9" s="47">
        <v>5</v>
      </c>
      <c r="BS9" s="47">
        <v>5</v>
      </c>
      <c r="BT9" s="47">
        <v>5</v>
      </c>
      <c r="BU9" s="47">
        <v>5</v>
      </c>
      <c r="BV9" s="47">
        <v>5</v>
      </c>
      <c r="BW9" s="36">
        <f t="shared" si="9"/>
        <v>30</v>
      </c>
      <c r="BX9" s="36">
        <v>20</v>
      </c>
      <c r="BY9" s="36">
        <f>AY9+BG9+BO9+BW9+BX9</f>
        <v>155</v>
      </c>
      <c r="BZ9" s="46" t="s">
        <v>277</v>
      </c>
      <c r="CA9" s="47">
        <v>5</v>
      </c>
      <c r="CB9" s="47">
        <v>5</v>
      </c>
      <c r="CC9" s="47">
        <v>5</v>
      </c>
      <c r="CD9" s="47">
        <v>5</v>
      </c>
      <c r="CE9" s="47">
        <v>5</v>
      </c>
      <c r="CF9" s="34"/>
      <c r="CG9" s="34"/>
      <c r="CH9" s="35"/>
    </row>
    <row r="10" spans="1:94" ht="13">
      <c r="A10" s="36">
        <v>7</v>
      </c>
      <c r="B10" s="37" t="s">
        <v>296</v>
      </c>
      <c r="C10" s="36">
        <v>1</v>
      </c>
      <c r="E10" s="36" t="s">
        <v>290</v>
      </c>
      <c r="F10" s="36" t="s">
        <v>286</v>
      </c>
      <c r="G10" s="36" t="s">
        <v>287</v>
      </c>
      <c r="H10" s="39" t="s">
        <v>291</v>
      </c>
      <c r="I10" s="40" t="s">
        <v>297</v>
      </c>
      <c r="J10" s="40">
        <f t="shared" si="0"/>
        <v>315</v>
      </c>
      <c r="K10" s="41">
        <v>5</v>
      </c>
      <c r="L10" s="41">
        <v>5</v>
      </c>
      <c r="M10" s="41">
        <v>5</v>
      </c>
      <c r="N10" s="41">
        <v>5</v>
      </c>
      <c r="O10" s="41">
        <v>5</v>
      </c>
      <c r="P10" s="41">
        <v>10</v>
      </c>
      <c r="Q10" s="43">
        <f t="shared" si="1"/>
        <v>35</v>
      </c>
      <c r="R10" s="34" t="s">
        <v>276</v>
      </c>
      <c r="S10" s="41">
        <v>5</v>
      </c>
      <c r="T10" s="41">
        <v>5</v>
      </c>
      <c r="U10" s="41">
        <v>5</v>
      </c>
      <c r="V10" s="41">
        <v>5</v>
      </c>
      <c r="W10" s="41">
        <v>5</v>
      </c>
      <c r="X10" s="36">
        <v>10</v>
      </c>
      <c r="Y10" s="36">
        <f t="shared" si="2"/>
        <v>35</v>
      </c>
      <c r="Z10" s="46" t="s">
        <v>276</v>
      </c>
      <c r="AA10" s="41">
        <v>5</v>
      </c>
      <c r="AB10" s="41">
        <v>5</v>
      </c>
      <c r="AC10" s="41">
        <v>5</v>
      </c>
      <c r="AD10" s="41">
        <v>5</v>
      </c>
      <c r="AE10" s="41">
        <v>5</v>
      </c>
      <c r="AF10" s="34">
        <v>10</v>
      </c>
      <c r="AG10" s="36">
        <f t="shared" si="3"/>
        <v>35</v>
      </c>
      <c r="AH10" s="34" t="s">
        <v>276</v>
      </c>
      <c r="AI10" s="41">
        <v>5</v>
      </c>
      <c r="AJ10" s="41">
        <v>5</v>
      </c>
      <c r="AK10" s="41">
        <v>5</v>
      </c>
      <c r="AL10" s="41">
        <v>5</v>
      </c>
      <c r="AM10" s="41">
        <v>5</v>
      </c>
      <c r="AN10" s="34">
        <v>10</v>
      </c>
      <c r="AO10" s="48">
        <f t="shared" si="4"/>
        <v>35</v>
      </c>
      <c r="AP10" s="34" t="s">
        <v>276</v>
      </c>
      <c r="AQ10" s="34">
        <v>20</v>
      </c>
      <c r="AR10" s="35">
        <f t="shared" si="5"/>
        <v>160</v>
      </c>
      <c r="AS10" s="41">
        <v>5</v>
      </c>
      <c r="AT10" s="41">
        <v>5</v>
      </c>
      <c r="AU10" s="41">
        <v>5</v>
      </c>
      <c r="AV10" s="41">
        <v>5</v>
      </c>
      <c r="AW10" s="41">
        <v>5</v>
      </c>
      <c r="AX10" s="34">
        <v>10</v>
      </c>
      <c r="AY10" s="34">
        <f t="shared" si="6"/>
        <v>35</v>
      </c>
      <c r="AZ10" s="34" t="s">
        <v>276</v>
      </c>
      <c r="BA10" s="41">
        <v>5</v>
      </c>
      <c r="BB10" s="41">
        <v>5</v>
      </c>
      <c r="BC10" s="41">
        <v>5</v>
      </c>
      <c r="BD10" s="41">
        <v>5</v>
      </c>
      <c r="BE10" s="41">
        <v>5</v>
      </c>
      <c r="BF10" s="36">
        <v>10</v>
      </c>
      <c r="BG10" s="36">
        <f t="shared" si="7"/>
        <v>35</v>
      </c>
      <c r="BH10" s="45" t="s">
        <v>276</v>
      </c>
      <c r="BI10" s="41">
        <v>5</v>
      </c>
      <c r="BJ10" s="36">
        <v>5</v>
      </c>
      <c r="BK10" s="41">
        <v>5</v>
      </c>
      <c r="BL10" s="41">
        <v>5</v>
      </c>
      <c r="BM10" s="49">
        <v>5</v>
      </c>
      <c r="BN10" s="36">
        <v>10</v>
      </c>
      <c r="BO10" s="50">
        <f t="shared" si="8"/>
        <v>35</v>
      </c>
      <c r="BP10" s="46" t="s">
        <v>276</v>
      </c>
      <c r="BQ10" s="47">
        <v>5</v>
      </c>
      <c r="BR10" s="47">
        <v>5</v>
      </c>
      <c r="BS10" s="47">
        <v>5</v>
      </c>
      <c r="BT10" s="47">
        <v>5</v>
      </c>
      <c r="BU10" s="47">
        <v>5</v>
      </c>
      <c r="BV10" s="47">
        <v>5</v>
      </c>
      <c r="BW10" s="36">
        <f t="shared" si="9"/>
        <v>30</v>
      </c>
      <c r="BX10" s="36">
        <v>20</v>
      </c>
      <c r="BY10" s="36">
        <f>AY10+BG10+BO10+BW10+BX10</f>
        <v>155</v>
      </c>
      <c r="BZ10" s="46" t="s">
        <v>277</v>
      </c>
      <c r="CA10" s="47" t="s">
        <v>292</v>
      </c>
      <c r="CB10" s="47">
        <v>5</v>
      </c>
      <c r="CC10" s="47">
        <v>5</v>
      </c>
      <c r="CD10" s="47">
        <v>5</v>
      </c>
      <c r="CE10" s="47">
        <v>5</v>
      </c>
      <c r="CF10" s="34"/>
      <c r="CG10" s="34"/>
      <c r="CH10" s="35"/>
    </row>
    <row r="11" spans="1:94" ht="13">
      <c r="A11" s="36">
        <v>8</v>
      </c>
      <c r="B11" s="52" t="s">
        <v>298</v>
      </c>
      <c r="C11" s="36">
        <v>2</v>
      </c>
      <c r="D11" s="38" t="s">
        <v>270</v>
      </c>
      <c r="E11" s="36" t="s">
        <v>290</v>
      </c>
      <c r="F11" s="36" t="s">
        <v>299</v>
      </c>
      <c r="G11" s="36" t="s">
        <v>300</v>
      </c>
      <c r="H11" s="39" t="s">
        <v>301</v>
      </c>
      <c r="I11" s="40" t="s">
        <v>302</v>
      </c>
      <c r="J11" s="40">
        <f t="shared" si="0"/>
        <v>315</v>
      </c>
      <c r="K11" s="41">
        <v>5</v>
      </c>
      <c r="L11" s="41">
        <v>5</v>
      </c>
      <c r="M11" s="41">
        <v>5</v>
      </c>
      <c r="N11" s="41">
        <v>5</v>
      </c>
      <c r="O11" s="41">
        <v>5</v>
      </c>
      <c r="P11" s="41">
        <v>10</v>
      </c>
      <c r="Q11" s="43">
        <f t="shared" si="1"/>
        <v>35</v>
      </c>
      <c r="R11" s="34" t="s">
        <v>276</v>
      </c>
      <c r="S11" s="41">
        <v>5</v>
      </c>
      <c r="T11" s="41">
        <v>5</v>
      </c>
      <c r="U11" s="41">
        <v>5</v>
      </c>
      <c r="V11" s="41">
        <v>5</v>
      </c>
      <c r="W11" s="41">
        <v>5</v>
      </c>
      <c r="X11" s="36">
        <v>10</v>
      </c>
      <c r="Y11" s="36">
        <f t="shared" si="2"/>
        <v>35</v>
      </c>
      <c r="Z11" s="46" t="s">
        <v>276</v>
      </c>
      <c r="AA11" s="41">
        <v>5</v>
      </c>
      <c r="AB11" s="41">
        <v>5</v>
      </c>
      <c r="AC11" s="41">
        <v>5</v>
      </c>
      <c r="AD11" s="41">
        <v>5</v>
      </c>
      <c r="AE11" s="41">
        <v>5</v>
      </c>
      <c r="AF11" s="34">
        <v>10</v>
      </c>
      <c r="AG11" s="36">
        <f t="shared" si="3"/>
        <v>35</v>
      </c>
      <c r="AH11" s="34" t="s">
        <v>276</v>
      </c>
      <c r="AI11" s="41">
        <v>5</v>
      </c>
      <c r="AJ11" s="41">
        <v>5</v>
      </c>
      <c r="AK11" s="41">
        <v>5</v>
      </c>
      <c r="AL11" s="41">
        <v>5</v>
      </c>
      <c r="AM11" s="41">
        <v>5</v>
      </c>
      <c r="AN11" s="34">
        <v>10</v>
      </c>
      <c r="AO11" s="48">
        <f t="shared" si="4"/>
        <v>35</v>
      </c>
      <c r="AP11" s="34" t="s">
        <v>276</v>
      </c>
      <c r="AQ11" s="34">
        <v>20</v>
      </c>
      <c r="AR11" s="35">
        <f t="shared" si="5"/>
        <v>160</v>
      </c>
      <c r="AS11" s="41">
        <v>5</v>
      </c>
      <c r="AT11" s="41">
        <v>5</v>
      </c>
      <c r="AU11" s="41">
        <v>5</v>
      </c>
      <c r="AV11" s="41">
        <v>5</v>
      </c>
      <c r="AW11" s="41">
        <v>5</v>
      </c>
      <c r="AX11" s="34">
        <v>10</v>
      </c>
      <c r="AY11" s="34">
        <f t="shared" si="6"/>
        <v>35</v>
      </c>
      <c r="AZ11" s="34" t="s">
        <v>276</v>
      </c>
      <c r="BA11" s="41">
        <v>5</v>
      </c>
      <c r="BB11" s="41">
        <v>5</v>
      </c>
      <c r="BC11" s="41">
        <v>5</v>
      </c>
      <c r="BD11" s="41">
        <v>5</v>
      </c>
      <c r="BE11" s="41">
        <v>5</v>
      </c>
      <c r="BF11" s="36">
        <v>10</v>
      </c>
      <c r="BG11" s="36">
        <f t="shared" si="7"/>
        <v>35</v>
      </c>
      <c r="BH11" s="45" t="s">
        <v>276</v>
      </c>
      <c r="BI11" s="41">
        <v>5</v>
      </c>
      <c r="BJ11" s="36">
        <v>5</v>
      </c>
      <c r="BK11" s="41">
        <v>5</v>
      </c>
      <c r="BL11" s="41">
        <v>5</v>
      </c>
      <c r="BM11" s="49">
        <v>5</v>
      </c>
      <c r="BN11" s="36">
        <v>10</v>
      </c>
      <c r="BO11" s="50">
        <f t="shared" si="8"/>
        <v>35</v>
      </c>
      <c r="BP11" s="46" t="s">
        <v>276</v>
      </c>
      <c r="BQ11" s="47">
        <v>5</v>
      </c>
      <c r="BR11" s="36">
        <v>5</v>
      </c>
      <c r="BS11" s="47">
        <v>5</v>
      </c>
      <c r="BT11" s="47">
        <v>5</v>
      </c>
      <c r="BU11" s="47">
        <v>5</v>
      </c>
      <c r="BV11" s="47">
        <v>5</v>
      </c>
      <c r="BW11" s="36">
        <f t="shared" si="9"/>
        <v>30</v>
      </c>
      <c r="BX11" s="36">
        <v>20</v>
      </c>
      <c r="BY11" s="36">
        <f>AY11+BG11+BO11+BW11+BX11</f>
        <v>155</v>
      </c>
      <c r="BZ11" s="46" t="s">
        <v>277</v>
      </c>
      <c r="CA11" s="47">
        <v>5</v>
      </c>
      <c r="CB11" s="47">
        <v>5</v>
      </c>
      <c r="CC11" s="47">
        <v>5</v>
      </c>
      <c r="CD11" s="47">
        <v>5</v>
      </c>
      <c r="CE11" s="47">
        <v>5</v>
      </c>
      <c r="CF11" s="34"/>
      <c r="CG11" s="34"/>
      <c r="CH11" s="35"/>
    </row>
    <row r="12" spans="1:94" ht="13">
      <c r="A12" s="36">
        <v>9</v>
      </c>
      <c r="B12" s="53" t="s">
        <v>303</v>
      </c>
      <c r="C12" s="36">
        <v>2</v>
      </c>
      <c r="E12" s="36" t="s">
        <v>294</v>
      </c>
      <c r="F12" s="36" t="s">
        <v>304</v>
      </c>
      <c r="G12" s="36" t="s">
        <v>305</v>
      </c>
      <c r="H12" s="39" t="s">
        <v>306</v>
      </c>
      <c r="I12" s="40" t="s">
        <v>307</v>
      </c>
      <c r="J12" s="40">
        <f t="shared" si="0"/>
        <v>315</v>
      </c>
      <c r="K12" s="41">
        <v>5</v>
      </c>
      <c r="L12" s="41">
        <v>5</v>
      </c>
      <c r="M12" s="41">
        <v>5</v>
      </c>
      <c r="N12" s="41">
        <v>5</v>
      </c>
      <c r="O12" s="41">
        <v>5</v>
      </c>
      <c r="P12" s="41">
        <v>10</v>
      </c>
      <c r="Q12" s="43">
        <f t="shared" si="1"/>
        <v>35</v>
      </c>
      <c r="R12" s="34" t="s">
        <v>276</v>
      </c>
      <c r="S12" s="41">
        <v>5</v>
      </c>
      <c r="T12" s="41">
        <v>5</v>
      </c>
      <c r="U12" s="41">
        <v>5</v>
      </c>
      <c r="V12" s="41">
        <v>5</v>
      </c>
      <c r="W12" s="41">
        <v>5</v>
      </c>
      <c r="X12" s="36">
        <v>10</v>
      </c>
      <c r="Y12" s="36">
        <f t="shared" si="2"/>
        <v>35</v>
      </c>
      <c r="Z12" s="46" t="s">
        <v>276</v>
      </c>
      <c r="AA12" s="41">
        <v>5</v>
      </c>
      <c r="AB12" s="41">
        <v>5</v>
      </c>
      <c r="AC12" s="41">
        <v>5</v>
      </c>
      <c r="AD12" s="41">
        <v>5</v>
      </c>
      <c r="AE12" s="41">
        <v>5</v>
      </c>
      <c r="AF12" s="34">
        <v>10</v>
      </c>
      <c r="AG12" s="36">
        <f t="shared" si="3"/>
        <v>35</v>
      </c>
      <c r="AH12" s="34" t="s">
        <v>276</v>
      </c>
      <c r="AI12" s="41">
        <v>5</v>
      </c>
      <c r="AJ12" s="41">
        <v>5</v>
      </c>
      <c r="AK12" s="41">
        <v>5</v>
      </c>
      <c r="AL12" s="41">
        <v>5</v>
      </c>
      <c r="AM12" s="41">
        <v>5</v>
      </c>
      <c r="AN12" s="34">
        <v>10</v>
      </c>
      <c r="AO12" s="48">
        <f t="shared" si="4"/>
        <v>35</v>
      </c>
      <c r="AP12" s="34" t="s">
        <v>276</v>
      </c>
      <c r="AQ12" s="34">
        <v>20</v>
      </c>
      <c r="AR12" s="35">
        <f t="shared" si="5"/>
        <v>160</v>
      </c>
      <c r="AS12" s="41">
        <v>5</v>
      </c>
      <c r="AT12" s="41">
        <v>5</v>
      </c>
      <c r="AU12" s="41">
        <v>5</v>
      </c>
      <c r="AV12" s="41">
        <v>5</v>
      </c>
      <c r="AW12" s="41">
        <v>5</v>
      </c>
      <c r="AX12" s="34">
        <v>10</v>
      </c>
      <c r="AY12" s="34">
        <f t="shared" si="6"/>
        <v>35</v>
      </c>
      <c r="AZ12" s="34" t="s">
        <v>276</v>
      </c>
      <c r="BA12" s="41">
        <v>5</v>
      </c>
      <c r="BB12" s="41">
        <v>5</v>
      </c>
      <c r="BC12" s="41">
        <v>5</v>
      </c>
      <c r="BD12" s="41">
        <v>5</v>
      </c>
      <c r="BE12" s="41">
        <v>5</v>
      </c>
      <c r="BF12" s="36">
        <v>10</v>
      </c>
      <c r="BG12" s="36">
        <f t="shared" si="7"/>
        <v>35</v>
      </c>
      <c r="BH12" s="45" t="s">
        <v>276</v>
      </c>
      <c r="BI12" s="41">
        <v>5</v>
      </c>
      <c r="BJ12" s="41">
        <v>5</v>
      </c>
      <c r="BK12" s="41">
        <v>5</v>
      </c>
      <c r="BL12" s="41">
        <v>5</v>
      </c>
      <c r="BM12" s="49">
        <v>5</v>
      </c>
      <c r="BN12" s="36">
        <v>10</v>
      </c>
      <c r="BO12" s="50">
        <f t="shared" si="8"/>
        <v>35</v>
      </c>
      <c r="BP12" s="46" t="s">
        <v>276</v>
      </c>
      <c r="BQ12" s="47">
        <v>5</v>
      </c>
      <c r="BR12" s="47">
        <v>5</v>
      </c>
      <c r="BS12" s="47">
        <v>5</v>
      </c>
      <c r="BT12" s="47">
        <v>5</v>
      </c>
      <c r="BU12" s="47">
        <v>5</v>
      </c>
      <c r="BV12" s="47">
        <v>5</v>
      </c>
      <c r="BW12" s="36">
        <f t="shared" si="9"/>
        <v>30</v>
      </c>
      <c r="BX12" s="36">
        <v>20</v>
      </c>
      <c r="BY12" s="36">
        <f>AY12+BG12+BO12+BW12+BX12</f>
        <v>155</v>
      </c>
      <c r="BZ12" s="46" t="s">
        <v>277</v>
      </c>
      <c r="CA12" s="47">
        <v>5</v>
      </c>
      <c r="CB12" s="47">
        <v>5</v>
      </c>
      <c r="CC12" s="47">
        <v>5</v>
      </c>
      <c r="CD12" s="47">
        <v>5</v>
      </c>
      <c r="CE12" s="36"/>
      <c r="CF12" s="34"/>
      <c r="CG12" s="34"/>
      <c r="CH12" s="35"/>
    </row>
    <row r="13" spans="1:94" ht="13">
      <c r="A13" s="36">
        <v>10</v>
      </c>
      <c r="B13" s="38" t="s">
        <v>308</v>
      </c>
      <c r="C13" s="36">
        <v>2</v>
      </c>
      <c r="E13" s="36" t="s">
        <v>309</v>
      </c>
      <c r="F13" s="36" t="s">
        <v>304</v>
      </c>
      <c r="G13" s="36" t="s">
        <v>305</v>
      </c>
      <c r="H13" s="39" t="s">
        <v>310</v>
      </c>
      <c r="I13" s="40" t="s">
        <v>311</v>
      </c>
      <c r="J13" s="40">
        <f t="shared" si="0"/>
        <v>315</v>
      </c>
      <c r="K13" s="41">
        <v>5</v>
      </c>
      <c r="L13" s="41">
        <v>5</v>
      </c>
      <c r="M13" s="41">
        <v>5</v>
      </c>
      <c r="N13" s="41">
        <v>5</v>
      </c>
      <c r="O13" s="41">
        <v>5</v>
      </c>
      <c r="P13" s="41">
        <v>10</v>
      </c>
      <c r="Q13" s="43">
        <f t="shared" si="1"/>
        <v>35</v>
      </c>
      <c r="R13" s="34" t="s">
        <v>276</v>
      </c>
      <c r="S13" s="41">
        <v>5</v>
      </c>
      <c r="T13" s="41">
        <v>5</v>
      </c>
      <c r="U13" s="41">
        <v>5</v>
      </c>
      <c r="V13" s="41">
        <v>5</v>
      </c>
      <c r="W13" s="41">
        <v>5</v>
      </c>
      <c r="X13" s="36">
        <v>10</v>
      </c>
      <c r="Y13" s="36">
        <f t="shared" si="2"/>
        <v>35</v>
      </c>
      <c r="Z13" s="46" t="s">
        <v>276</v>
      </c>
      <c r="AA13" s="41">
        <v>5</v>
      </c>
      <c r="AB13" s="41">
        <v>5</v>
      </c>
      <c r="AC13" s="41">
        <v>5</v>
      </c>
      <c r="AD13" s="41">
        <v>5</v>
      </c>
      <c r="AE13" s="41">
        <v>5</v>
      </c>
      <c r="AF13" s="34">
        <v>10</v>
      </c>
      <c r="AG13" s="36">
        <f t="shared" si="3"/>
        <v>35</v>
      </c>
      <c r="AH13" s="34" t="s">
        <v>276</v>
      </c>
      <c r="AI13" s="41">
        <v>5</v>
      </c>
      <c r="AJ13" s="41">
        <v>5</v>
      </c>
      <c r="AK13" s="41">
        <v>5</v>
      </c>
      <c r="AL13" s="41">
        <v>5</v>
      </c>
      <c r="AM13" s="41">
        <v>5</v>
      </c>
      <c r="AN13" s="34">
        <v>10</v>
      </c>
      <c r="AO13" s="48">
        <f t="shared" si="4"/>
        <v>35</v>
      </c>
      <c r="AP13" s="34" t="s">
        <v>276</v>
      </c>
      <c r="AQ13" s="34">
        <v>20</v>
      </c>
      <c r="AR13" s="35">
        <f t="shared" si="5"/>
        <v>160</v>
      </c>
      <c r="AS13" s="41">
        <v>5</v>
      </c>
      <c r="AT13" s="41">
        <v>5</v>
      </c>
      <c r="AU13" s="41">
        <v>5</v>
      </c>
      <c r="AV13" s="41">
        <v>5</v>
      </c>
      <c r="AW13" s="41">
        <v>5</v>
      </c>
      <c r="AX13" s="34">
        <v>10</v>
      </c>
      <c r="AY13" s="34">
        <f t="shared" si="6"/>
        <v>35</v>
      </c>
      <c r="AZ13" s="35" t="s">
        <v>276</v>
      </c>
      <c r="BA13" s="41">
        <v>5</v>
      </c>
      <c r="BB13" s="41">
        <v>5</v>
      </c>
      <c r="BC13" s="41">
        <v>5</v>
      </c>
      <c r="BD13" s="41">
        <v>5</v>
      </c>
      <c r="BE13" s="41">
        <v>5</v>
      </c>
      <c r="BF13" s="36">
        <v>10</v>
      </c>
      <c r="BG13" s="36">
        <f t="shared" si="7"/>
        <v>35</v>
      </c>
      <c r="BH13" s="45" t="s">
        <v>276</v>
      </c>
      <c r="BI13" s="41">
        <v>5</v>
      </c>
      <c r="BJ13" s="41">
        <v>5</v>
      </c>
      <c r="BK13" s="41">
        <v>5</v>
      </c>
      <c r="BL13" s="41">
        <v>5</v>
      </c>
      <c r="BM13" s="49">
        <v>5</v>
      </c>
      <c r="BN13" s="36">
        <v>10</v>
      </c>
      <c r="BO13" s="50">
        <f t="shared" si="8"/>
        <v>35</v>
      </c>
      <c r="BP13" s="46" t="s">
        <v>276</v>
      </c>
      <c r="BQ13" s="47">
        <v>5</v>
      </c>
      <c r="BR13" s="47">
        <v>5</v>
      </c>
      <c r="BS13" s="47">
        <v>5</v>
      </c>
      <c r="BT13" s="47">
        <v>5</v>
      </c>
      <c r="BU13" s="47">
        <v>5</v>
      </c>
      <c r="BV13" s="47">
        <v>5</v>
      </c>
      <c r="BW13" s="36">
        <f t="shared" si="9"/>
        <v>30</v>
      </c>
      <c r="BX13" s="36">
        <v>20</v>
      </c>
      <c r="BY13" s="36">
        <f>AY13+BG13+BO13+BW13+BX13</f>
        <v>155</v>
      </c>
      <c r="BZ13" s="46" t="s">
        <v>277</v>
      </c>
      <c r="CA13" s="47">
        <v>5</v>
      </c>
      <c r="CB13" s="47">
        <v>5</v>
      </c>
      <c r="CC13" s="47">
        <v>5</v>
      </c>
      <c r="CD13" s="47">
        <v>5</v>
      </c>
      <c r="CE13" s="36"/>
      <c r="CF13" s="34"/>
      <c r="CG13" s="34"/>
      <c r="CH13" s="35"/>
    </row>
    <row r="14" spans="1:94" ht="13">
      <c r="A14" s="36">
        <v>11</v>
      </c>
      <c r="B14" s="38" t="s">
        <v>312</v>
      </c>
      <c r="C14" s="36">
        <v>2</v>
      </c>
      <c r="E14" s="36" t="s">
        <v>294</v>
      </c>
      <c r="F14" s="36" t="s">
        <v>304</v>
      </c>
      <c r="G14" s="36" t="s">
        <v>305</v>
      </c>
      <c r="H14" s="39" t="s">
        <v>313</v>
      </c>
      <c r="I14" s="40" t="s">
        <v>275</v>
      </c>
      <c r="J14" s="40">
        <f t="shared" si="0"/>
        <v>240</v>
      </c>
      <c r="K14" s="41">
        <v>5</v>
      </c>
      <c r="L14" s="41">
        <v>5</v>
      </c>
      <c r="M14" s="41">
        <v>5</v>
      </c>
      <c r="N14" s="41">
        <v>5</v>
      </c>
      <c r="O14" s="41">
        <v>5</v>
      </c>
      <c r="P14" s="41">
        <v>10</v>
      </c>
      <c r="Q14" s="43">
        <f t="shared" si="1"/>
        <v>35</v>
      </c>
      <c r="R14" s="34" t="s">
        <v>276</v>
      </c>
      <c r="S14" s="41" t="s">
        <v>314</v>
      </c>
      <c r="T14" s="41">
        <v>5</v>
      </c>
      <c r="U14" s="41">
        <v>5</v>
      </c>
      <c r="V14" s="41">
        <v>5</v>
      </c>
      <c r="W14" s="41">
        <v>5</v>
      </c>
      <c r="X14" s="34"/>
      <c r="Y14" s="36">
        <f t="shared" si="2"/>
        <v>20</v>
      </c>
      <c r="Z14" s="34"/>
      <c r="AA14" s="41">
        <v>5</v>
      </c>
      <c r="AB14" s="41">
        <v>5</v>
      </c>
      <c r="AC14" s="41">
        <v>5</v>
      </c>
      <c r="AD14" s="41">
        <v>5</v>
      </c>
      <c r="AE14" s="41">
        <v>5</v>
      </c>
      <c r="AF14" s="34">
        <v>10</v>
      </c>
      <c r="AG14" s="36">
        <f t="shared" si="3"/>
        <v>35</v>
      </c>
      <c r="AH14" s="34" t="s">
        <v>276</v>
      </c>
      <c r="AI14" s="41">
        <v>5</v>
      </c>
      <c r="AJ14" s="41">
        <v>5</v>
      </c>
      <c r="AK14" s="41">
        <v>5</v>
      </c>
      <c r="AL14" s="41">
        <v>5</v>
      </c>
      <c r="AM14" s="41">
        <v>5</v>
      </c>
      <c r="AN14" s="34">
        <v>10</v>
      </c>
      <c r="AO14" s="48">
        <f t="shared" si="4"/>
        <v>35</v>
      </c>
      <c r="AP14" s="34" t="s">
        <v>276</v>
      </c>
      <c r="AQ14" s="51"/>
      <c r="AR14" s="35">
        <f t="shared" si="5"/>
        <v>125</v>
      </c>
      <c r="AS14" s="41">
        <v>5</v>
      </c>
      <c r="AT14" s="41">
        <v>5</v>
      </c>
      <c r="AU14" s="41">
        <v>5</v>
      </c>
      <c r="AV14" s="41">
        <v>5</v>
      </c>
      <c r="AW14" s="41">
        <v>5</v>
      </c>
      <c r="AX14" s="34">
        <v>10</v>
      </c>
      <c r="AY14" s="34">
        <f t="shared" si="6"/>
        <v>35</v>
      </c>
      <c r="AZ14" s="35" t="s">
        <v>276</v>
      </c>
      <c r="BA14" s="41">
        <v>5</v>
      </c>
      <c r="BB14" s="41">
        <v>5</v>
      </c>
      <c r="BC14" s="41">
        <v>5</v>
      </c>
      <c r="BD14" s="41">
        <v>5</v>
      </c>
      <c r="BE14" s="41">
        <v>5</v>
      </c>
      <c r="BF14" s="36">
        <v>10</v>
      </c>
      <c r="BG14" s="36">
        <f t="shared" si="7"/>
        <v>35</v>
      </c>
      <c r="BH14" s="45" t="s">
        <v>276</v>
      </c>
      <c r="BI14" s="41">
        <v>5</v>
      </c>
      <c r="BJ14" s="41">
        <v>5</v>
      </c>
      <c r="BK14" s="41" t="s">
        <v>314</v>
      </c>
      <c r="BL14" s="41" t="s">
        <v>314</v>
      </c>
      <c r="BM14" s="41">
        <v>5</v>
      </c>
      <c r="BN14" s="34"/>
      <c r="BO14" s="36">
        <f t="shared" si="8"/>
        <v>15</v>
      </c>
      <c r="BP14" s="34"/>
      <c r="BQ14" s="47">
        <v>5</v>
      </c>
      <c r="BR14" s="47">
        <v>5</v>
      </c>
      <c r="BS14" s="47">
        <v>5</v>
      </c>
      <c r="BT14" s="47">
        <v>5</v>
      </c>
      <c r="BU14" s="47">
        <v>5</v>
      </c>
      <c r="BV14" s="47">
        <v>5</v>
      </c>
      <c r="BW14" s="36">
        <f t="shared" si="9"/>
        <v>30</v>
      </c>
      <c r="BX14" s="36"/>
      <c r="BY14" s="36">
        <f>AY14+BG14+BO14+BW14</f>
        <v>115</v>
      </c>
      <c r="BZ14" s="35"/>
      <c r="CA14" s="47">
        <v>5</v>
      </c>
      <c r="CB14" s="47">
        <v>5</v>
      </c>
      <c r="CC14" s="47">
        <v>5</v>
      </c>
      <c r="CD14" s="47" t="s">
        <v>314</v>
      </c>
      <c r="CE14" s="36"/>
      <c r="CF14" s="34"/>
      <c r="CG14" s="34"/>
      <c r="CH14" s="35"/>
    </row>
    <row r="15" spans="1:94" ht="13">
      <c r="A15" s="36">
        <v>12</v>
      </c>
      <c r="B15" s="38" t="s">
        <v>315</v>
      </c>
      <c r="C15" s="36">
        <v>2</v>
      </c>
      <c r="E15" s="36" t="s">
        <v>294</v>
      </c>
      <c r="F15" s="36" t="s">
        <v>304</v>
      </c>
      <c r="G15" s="36" t="s">
        <v>305</v>
      </c>
      <c r="H15" s="39" t="s">
        <v>316</v>
      </c>
      <c r="I15" s="40" t="s">
        <v>275</v>
      </c>
      <c r="J15" s="40">
        <f t="shared" si="0"/>
        <v>315</v>
      </c>
      <c r="K15" s="41">
        <v>5</v>
      </c>
      <c r="L15" s="41">
        <v>5</v>
      </c>
      <c r="M15" s="41">
        <v>5</v>
      </c>
      <c r="N15" s="41">
        <v>5</v>
      </c>
      <c r="O15" s="41">
        <v>5</v>
      </c>
      <c r="P15" s="41">
        <v>10</v>
      </c>
      <c r="Q15" s="43">
        <f t="shared" si="1"/>
        <v>35</v>
      </c>
      <c r="R15" s="34" t="s">
        <v>276</v>
      </c>
      <c r="S15" s="41">
        <v>5</v>
      </c>
      <c r="T15" s="41">
        <v>5</v>
      </c>
      <c r="U15" s="41">
        <v>5</v>
      </c>
      <c r="V15" s="41">
        <v>5</v>
      </c>
      <c r="W15" s="41">
        <v>5</v>
      </c>
      <c r="X15" s="36">
        <v>10</v>
      </c>
      <c r="Y15" s="36">
        <f t="shared" si="2"/>
        <v>35</v>
      </c>
      <c r="Z15" s="46" t="s">
        <v>276</v>
      </c>
      <c r="AA15" s="41">
        <v>5</v>
      </c>
      <c r="AB15" s="41">
        <v>5</v>
      </c>
      <c r="AC15" s="41">
        <v>5</v>
      </c>
      <c r="AD15" s="41">
        <v>5</v>
      </c>
      <c r="AE15" s="41">
        <v>5</v>
      </c>
      <c r="AF15" s="34">
        <v>10</v>
      </c>
      <c r="AG15" s="36">
        <f t="shared" si="3"/>
        <v>35</v>
      </c>
      <c r="AH15" s="34" t="s">
        <v>276</v>
      </c>
      <c r="AI15" s="41">
        <v>5</v>
      </c>
      <c r="AJ15" s="41">
        <v>5</v>
      </c>
      <c r="AK15" s="41">
        <v>5</v>
      </c>
      <c r="AL15" s="41">
        <v>5</v>
      </c>
      <c r="AM15" s="41">
        <v>5</v>
      </c>
      <c r="AN15" s="34">
        <v>10</v>
      </c>
      <c r="AO15" s="48">
        <f t="shared" si="4"/>
        <v>35</v>
      </c>
      <c r="AP15" s="34" t="s">
        <v>276</v>
      </c>
      <c r="AQ15" s="34">
        <v>20</v>
      </c>
      <c r="AR15" s="35">
        <f t="shared" si="5"/>
        <v>160</v>
      </c>
      <c r="AS15" s="41">
        <v>5</v>
      </c>
      <c r="AT15" s="41">
        <v>5</v>
      </c>
      <c r="AU15" s="41">
        <v>5</v>
      </c>
      <c r="AV15" s="41">
        <v>5</v>
      </c>
      <c r="AW15" s="41">
        <v>5</v>
      </c>
      <c r="AX15" s="34">
        <v>10</v>
      </c>
      <c r="AY15" s="34">
        <f t="shared" si="6"/>
        <v>35</v>
      </c>
      <c r="AZ15" s="35" t="s">
        <v>276</v>
      </c>
      <c r="BA15" s="41">
        <v>5</v>
      </c>
      <c r="BB15" s="41">
        <v>5</v>
      </c>
      <c r="BC15" s="41">
        <v>5</v>
      </c>
      <c r="BD15" s="41">
        <v>5</v>
      </c>
      <c r="BE15" s="41">
        <v>5</v>
      </c>
      <c r="BF15" s="36">
        <v>10</v>
      </c>
      <c r="BG15" s="36">
        <f t="shared" si="7"/>
        <v>35</v>
      </c>
      <c r="BH15" s="45" t="s">
        <v>276</v>
      </c>
      <c r="BI15" s="41">
        <v>5</v>
      </c>
      <c r="BJ15" s="41">
        <v>5</v>
      </c>
      <c r="BK15" s="41">
        <v>5</v>
      </c>
      <c r="BL15" s="41">
        <v>5</v>
      </c>
      <c r="BM15" s="41">
        <v>5</v>
      </c>
      <c r="BN15" s="36">
        <v>10</v>
      </c>
      <c r="BO15" s="36">
        <f t="shared" si="8"/>
        <v>35</v>
      </c>
      <c r="BP15" s="46" t="s">
        <v>276</v>
      </c>
      <c r="BQ15" s="47">
        <v>5</v>
      </c>
      <c r="BR15" s="47">
        <v>5</v>
      </c>
      <c r="BS15" s="47">
        <v>5</v>
      </c>
      <c r="BT15" s="47">
        <v>5</v>
      </c>
      <c r="BU15" s="47">
        <v>5</v>
      </c>
      <c r="BV15" s="47">
        <v>5</v>
      </c>
      <c r="BW15" s="36">
        <f t="shared" si="9"/>
        <v>30</v>
      </c>
      <c r="BX15" s="36">
        <v>20</v>
      </c>
      <c r="BY15" s="36">
        <f>AY15+BG15+BO15+BW15+BX15</f>
        <v>155</v>
      </c>
      <c r="BZ15" s="46" t="s">
        <v>277</v>
      </c>
      <c r="CA15" s="47">
        <v>5</v>
      </c>
      <c r="CB15" s="47">
        <v>5</v>
      </c>
      <c r="CC15" s="47">
        <v>5</v>
      </c>
      <c r="CD15" s="47">
        <v>5</v>
      </c>
      <c r="CE15" s="36"/>
      <c r="CF15" s="34"/>
      <c r="CG15" s="34"/>
      <c r="CH15" s="35"/>
    </row>
    <row r="16" spans="1:94" ht="26">
      <c r="A16" s="36">
        <v>13</v>
      </c>
      <c r="B16" s="38" t="s">
        <v>317</v>
      </c>
      <c r="C16" s="36">
        <v>2</v>
      </c>
      <c r="E16" s="36" t="s">
        <v>318</v>
      </c>
      <c r="F16" s="36" t="s">
        <v>304</v>
      </c>
      <c r="G16" s="36" t="s">
        <v>319</v>
      </c>
      <c r="H16" s="39" t="s">
        <v>306</v>
      </c>
      <c r="I16" s="40" t="s">
        <v>275</v>
      </c>
      <c r="J16" s="40">
        <f t="shared" si="0"/>
        <v>165</v>
      </c>
      <c r="K16" s="41">
        <v>5</v>
      </c>
      <c r="L16" s="41" t="s">
        <v>314</v>
      </c>
      <c r="M16" s="41">
        <v>5</v>
      </c>
      <c r="N16" s="41">
        <v>5</v>
      </c>
      <c r="O16" s="41">
        <v>5</v>
      </c>
      <c r="P16" s="41"/>
      <c r="Q16" s="43">
        <f t="shared" si="1"/>
        <v>20</v>
      </c>
      <c r="R16" s="34"/>
      <c r="S16" s="41">
        <v>5</v>
      </c>
      <c r="T16" s="41" t="s">
        <v>292</v>
      </c>
      <c r="U16" s="41" t="s">
        <v>292</v>
      </c>
      <c r="V16" s="41">
        <v>5</v>
      </c>
      <c r="W16" s="41" t="s">
        <v>292</v>
      </c>
      <c r="X16" s="34"/>
      <c r="Y16" s="36">
        <f t="shared" si="2"/>
        <v>10</v>
      </c>
      <c r="Z16" s="34"/>
      <c r="AA16" s="41">
        <v>5</v>
      </c>
      <c r="AB16" s="41">
        <v>5</v>
      </c>
      <c r="AC16" s="41" t="s">
        <v>292</v>
      </c>
      <c r="AD16" s="41">
        <v>5</v>
      </c>
      <c r="AE16" s="41" t="s">
        <v>314</v>
      </c>
      <c r="AF16" s="34"/>
      <c r="AG16" s="36">
        <f t="shared" si="3"/>
        <v>15</v>
      </c>
      <c r="AH16" s="34"/>
      <c r="AI16" s="41">
        <v>5</v>
      </c>
      <c r="AJ16" s="41">
        <v>5</v>
      </c>
      <c r="AK16" s="41">
        <v>5</v>
      </c>
      <c r="AL16" s="41">
        <v>5</v>
      </c>
      <c r="AM16" s="41">
        <v>5</v>
      </c>
      <c r="AN16" s="34">
        <v>10</v>
      </c>
      <c r="AO16" s="48">
        <f t="shared" si="4"/>
        <v>35</v>
      </c>
      <c r="AP16" s="34" t="s">
        <v>276</v>
      </c>
      <c r="AQ16" s="51"/>
      <c r="AR16" s="35">
        <f t="shared" si="5"/>
        <v>80</v>
      </c>
      <c r="AS16" s="41">
        <v>5</v>
      </c>
      <c r="AT16" s="41">
        <v>5</v>
      </c>
      <c r="AU16" s="41">
        <v>5</v>
      </c>
      <c r="AV16" s="41">
        <v>5</v>
      </c>
      <c r="AW16" s="41">
        <v>5</v>
      </c>
      <c r="AX16" s="34">
        <v>10</v>
      </c>
      <c r="AY16" s="34">
        <f t="shared" si="6"/>
        <v>35</v>
      </c>
      <c r="AZ16" s="35" t="s">
        <v>276</v>
      </c>
      <c r="BA16" s="41">
        <v>5</v>
      </c>
      <c r="BB16" s="41">
        <v>5</v>
      </c>
      <c r="BC16" s="41">
        <v>5</v>
      </c>
      <c r="BD16" s="41">
        <v>5</v>
      </c>
      <c r="BE16" s="41" t="s">
        <v>292</v>
      </c>
      <c r="BF16" s="34"/>
      <c r="BG16" s="36">
        <f t="shared" si="7"/>
        <v>20</v>
      </c>
      <c r="BH16" s="35"/>
      <c r="BI16" s="41" t="s">
        <v>314</v>
      </c>
      <c r="BJ16" s="41" t="s">
        <v>314</v>
      </c>
      <c r="BK16" s="41" t="s">
        <v>314</v>
      </c>
      <c r="BL16" s="41" t="s">
        <v>314</v>
      </c>
      <c r="BM16" s="41" t="s">
        <v>314</v>
      </c>
      <c r="BN16" s="34"/>
      <c r="BO16" s="36">
        <f t="shared" si="8"/>
        <v>0</v>
      </c>
      <c r="BP16" s="34" t="s">
        <v>320</v>
      </c>
      <c r="BQ16" s="47">
        <v>5</v>
      </c>
      <c r="BR16" s="54">
        <v>5</v>
      </c>
      <c r="BS16" s="47">
        <v>5</v>
      </c>
      <c r="BT16" s="47">
        <v>5</v>
      </c>
      <c r="BU16" s="47">
        <v>5</v>
      </c>
      <c r="BV16" s="47">
        <v>5</v>
      </c>
      <c r="BW16" s="36">
        <f t="shared" si="9"/>
        <v>30</v>
      </c>
      <c r="BX16" s="36"/>
      <c r="BY16" s="36">
        <f>AY16+BG16+BO16+BW16</f>
        <v>85</v>
      </c>
      <c r="BZ16" s="55" t="s">
        <v>320</v>
      </c>
      <c r="CA16" s="47" t="s">
        <v>292</v>
      </c>
      <c r="CB16" s="47" t="s">
        <v>292</v>
      </c>
      <c r="CC16" s="47" t="s">
        <v>292</v>
      </c>
      <c r="CD16" s="47" t="s">
        <v>292</v>
      </c>
      <c r="CE16" s="36"/>
      <c r="CF16" s="34"/>
      <c r="CG16" s="34"/>
      <c r="CH16" s="35"/>
    </row>
    <row r="17" spans="1:94" ht="13">
      <c r="A17" s="36">
        <v>14</v>
      </c>
      <c r="B17" s="38" t="s">
        <v>321</v>
      </c>
      <c r="C17" s="36">
        <v>2</v>
      </c>
      <c r="E17" s="36" t="s">
        <v>271</v>
      </c>
      <c r="F17" s="36" t="s">
        <v>304</v>
      </c>
      <c r="G17" s="36" t="s">
        <v>319</v>
      </c>
      <c r="H17" s="39" t="s">
        <v>310</v>
      </c>
      <c r="I17" s="40" t="s">
        <v>302</v>
      </c>
      <c r="J17" s="40">
        <f t="shared" si="0"/>
        <v>315</v>
      </c>
      <c r="K17" s="41">
        <v>5</v>
      </c>
      <c r="L17" s="41">
        <v>5</v>
      </c>
      <c r="M17" s="41">
        <v>5</v>
      </c>
      <c r="N17" s="41">
        <v>5</v>
      </c>
      <c r="O17" s="41">
        <v>5</v>
      </c>
      <c r="P17" s="41">
        <v>10</v>
      </c>
      <c r="Q17" s="43">
        <f t="shared" si="1"/>
        <v>35</v>
      </c>
      <c r="R17" s="34" t="s">
        <v>276</v>
      </c>
      <c r="S17" s="41">
        <v>5</v>
      </c>
      <c r="T17" s="41">
        <v>5</v>
      </c>
      <c r="U17" s="41">
        <v>5</v>
      </c>
      <c r="V17" s="41">
        <v>5</v>
      </c>
      <c r="W17" s="41">
        <v>5</v>
      </c>
      <c r="X17" s="36">
        <v>10</v>
      </c>
      <c r="Y17" s="36">
        <f t="shared" si="2"/>
        <v>35</v>
      </c>
      <c r="Z17" s="46" t="s">
        <v>276</v>
      </c>
      <c r="AA17" s="41">
        <v>5</v>
      </c>
      <c r="AB17" s="41">
        <v>5</v>
      </c>
      <c r="AC17" s="41">
        <v>5</v>
      </c>
      <c r="AD17" s="41">
        <v>5</v>
      </c>
      <c r="AE17" s="41">
        <v>5</v>
      </c>
      <c r="AF17" s="34">
        <v>10</v>
      </c>
      <c r="AG17" s="36">
        <f t="shared" si="3"/>
        <v>35</v>
      </c>
      <c r="AH17" s="34" t="s">
        <v>276</v>
      </c>
      <c r="AI17" s="41">
        <v>5</v>
      </c>
      <c r="AJ17" s="41">
        <v>5</v>
      </c>
      <c r="AK17" s="41">
        <v>5</v>
      </c>
      <c r="AL17" s="41">
        <v>5</v>
      </c>
      <c r="AM17" s="41">
        <v>5</v>
      </c>
      <c r="AN17" s="34">
        <v>10</v>
      </c>
      <c r="AO17" s="48">
        <f t="shared" si="4"/>
        <v>35</v>
      </c>
      <c r="AP17" s="34" t="s">
        <v>276</v>
      </c>
      <c r="AQ17" s="34">
        <v>20</v>
      </c>
      <c r="AR17" s="35">
        <f t="shared" si="5"/>
        <v>160</v>
      </c>
      <c r="AS17" s="41">
        <v>5</v>
      </c>
      <c r="AT17" s="41">
        <v>5</v>
      </c>
      <c r="AU17" s="41">
        <v>5</v>
      </c>
      <c r="AV17" s="41">
        <v>5</v>
      </c>
      <c r="AW17" s="41">
        <v>5</v>
      </c>
      <c r="AX17" s="34">
        <v>10</v>
      </c>
      <c r="AY17" s="34">
        <f t="shared" si="6"/>
        <v>35</v>
      </c>
      <c r="AZ17" s="35" t="s">
        <v>276</v>
      </c>
      <c r="BA17" s="41">
        <v>5</v>
      </c>
      <c r="BB17" s="41">
        <v>5</v>
      </c>
      <c r="BC17" s="41">
        <v>5</v>
      </c>
      <c r="BD17" s="41">
        <v>5</v>
      </c>
      <c r="BE17" s="41">
        <v>5</v>
      </c>
      <c r="BF17" s="36">
        <v>10</v>
      </c>
      <c r="BG17" s="36">
        <f t="shared" si="7"/>
        <v>35</v>
      </c>
      <c r="BH17" s="45" t="s">
        <v>276</v>
      </c>
      <c r="BI17" s="41">
        <v>5</v>
      </c>
      <c r="BJ17" s="41">
        <v>5</v>
      </c>
      <c r="BK17" s="41">
        <v>5</v>
      </c>
      <c r="BL17" s="41">
        <v>5</v>
      </c>
      <c r="BM17" s="41">
        <v>5</v>
      </c>
      <c r="BN17" s="36">
        <v>10</v>
      </c>
      <c r="BO17" s="36">
        <f t="shared" si="8"/>
        <v>35</v>
      </c>
      <c r="BP17" s="46" t="s">
        <v>276</v>
      </c>
      <c r="BQ17" s="47">
        <v>5</v>
      </c>
      <c r="BR17" s="47">
        <v>5</v>
      </c>
      <c r="BS17" s="47">
        <v>5</v>
      </c>
      <c r="BT17" s="47">
        <v>5</v>
      </c>
      <c r="BU17" s="47">
        <v>5</v>
      </c>
      <c r="BV17" s="47">
        <v>5</v>
      </c>
      <c r="BW17" s="36">
        <f t="shared" si="9"/>
        <v>30</v>
      </c>
      <c r="BX17" s="36">
        <v>20</v>
      </c>
      <c r="BY17" s="36">
        <f>AY17+BG17+BO17+BW17+BX17</f>
        <v>155</v>
      </c>
      <c r="BZ17" s="46" t="s">
        <v>277</v>
      </c>
      <c r="CA17" s="47">
        <v>5</v>
      </c>
      <c r="CB17" s="47">
        <v>5</v>
      </c>
      <c r="CC17" s="47" t="s">
        <v>314</v>
      </c>
      <c r="CD17" s="47" t="s">
        <v>314</v>
      </c>
      <c r="CE17" s="36"/>
      <c r="CF17" s="34"/>
      <c r="CG17" s="34"/>
      <c r="CH17" s="35"/>
    </row>
    <row r="18" spans="1:94" ht="13">
      <c r="A18" s="36">
        <v>15</v>
      </c>
      <c r="B18" s="38" t="s">
        <v>322</v>
      </c>
      <c r="C18" s="36">
        <v>2</v>
      </c>
      <c r="E18" s="36" t="s">
        <v>294</v>
      </c>
      <c r="F18" s="36" t="s">
        <v>304</v>
      </c>
      <c r="G18" s="36" t="s">
        <v>319</v>
      </c>
      <c r="H18" s="39" t="s">
        <v>310</v>
      </c>
      <c r="I18" s="40" t="s">
        <v>311</v>
      </c>
      <c r="J18" s="40">
        <f t="shared" si="0"/>
        <v>220</v>
      </c>
      <c r="K18" s="41">
        <v>5</v>
      </c>
      <c r="L18" s="41">
        <v>5</v>
      </c>
      <c r="M18" s="41">
        <v>5</v>
      </c>
      <c r="N18" s="41">
        <v>5</v>
      </c>
      <c r="O18" s="41">
        <v>5</v>
      </c>
      <c r="P18" s="41">
        <v>10</v>
      </c>
      <c r="Q18" s="43">
        <f t="shared" si="1"/>
        <v>35</v>
      </c>
      <c r="R18" s="34" t="s">
        <v>276</v>
      </c>
      <c r="S18" s="41" t="s">
        <v>314</v>
      </c>
      <c r="T18" s="41" t="s">
        <v>314</v>
      </c>
      <c r="U18" s="41" t="s">
        <v>314</v>
      </c>
      <c r="V18" s="41">
        <v>5</v>
      </c>
      <c r="W18" s="41">
        <v>5</v>
      </c>
      <c r="X18" s="34"/>
      <c r="Y18" s="36">
        <f t="shared" si="2"/>
        <v>10</v>
      </c>
      <c r="Z18" s="34"/>
      <c r="AA18" s="41">
        <v>5</v>
      </c>
      <c r="AB18" s="41">
        <v>5</v>
      </c>
      <c r="AC18" s="41">
        <v>5</v>
      </c>
      <c r="AD18" s="41" t="s">
        <v>314</v>
      </c>
      <c r="AE18" s="41">
        <v>5</v>
      </c>
      <c r="AF18" s="34"/>
      <c r="AG18" s="36">
        <f t="shared" si="3"/>
        <v>20</v>
      </c>
      <c r="AH18" s="34"/>
      <c r="AI18" s="41">
        <v>5</v>
      </c>
      <c r="AJ18" s="41">
        <v>5</v>
      </c>
      <c r="AK18" s="41">
        <v>5</v>
      </c>
      <c r="AL18" s="41">
        <v>5</v>
      </c>
      <c r="AM18" s="41">
        <v>5</v>
      </c>
      <c r="AN18" s="34">
        <v>10</v>
      </c>
      <c r="AO18" s="48">
        <f t="shared" si="4"/>
        <v>35</v>
      </c>
      <c r="AP18" s="34" t="s">
        <v>276</v>
      </c>
      <c r="AQ18" s="51"/>
      <c r="AR18" s="35">
        <f t="shared" si="5"/>
        <v>100</v>
      </c>
      <c r="AS18" s="41">
        <v>5</v>
      </c>
      <c r="AT18" s="41">
        <v>5</v>
      </c>
      <c r="AU18" s="41">
        <v>5</v>
      </c>
      <c r="AV18" s="41">
        <v>5</v>
      </c>
      <c r="AW18" s="41">
        <v>5</v>
      </c>
      <c r="AX18" s="34">
        <v>10</v>
      </c>
      <c r="AY18" s="34">
        <f t="shared" si="6"/>
        <v>35</v>
      </c>
      <c r="AZ18" s="35" t="s">
        <v>276</v>
      </c>
      <c r="BA18" s="41">
        <v>5</v>
      </c>
      <c r="BB18" s="41">
        <v>5</v>
      </c>
      <c r="BC18" s="41">
        <v>5</v>
      </c>
      <c r="BD18" s="41">
        <v>5</v>
      </c>
      <c r="BE18" s="41">
        <v>5</v>
      </c>
      <c r="BF18" s="36">
        <v>10</v>
      </c>
      <c r="BG18" s="36">
        <f t="shared" si="7"/>
        <v>35</v>
      </c>
      <c r="BH18" s="45" t="s">
        <v>276</v>
      </c>
      <c r="BI18" s="41">
        <v>5</v>
      </c>
      <c r="BJ18" s="41">
        <v>5</v>
      </c>
      <c r="BK18" s="41" t="s">
        <v>314</v>
      </c>
      <c r="BL18" s="41">
        <v>5</v>
      </c>
      <c r="BM18" s="41">
        <v>5</v>
      </c>
      <c r="BN18" s="34"/>
      <c r="BO18" s="36">
        <f t="shared" si="8"/>
        <v>20</v>
      </c>
      <c r="BP18" s="34"/>
      <c r="BQ18" s="47">
        <v>5</v>
      </c>
      <c r="BR18" s="47">
        <v>5</v>
      </c>
      <c r="BS18" s="47">
        <v>5</v>
      </c>
      <c r="BT18" s="47">
        <v>5</v>
      </c>
      <c r="BU18" s="47">
        <v>5</v>
      </c>
      <c r="BV18" s="47">
        <v>5</v>
      </c>
      <c r="BW18" s="36">
        <f t="shared" si="9"/>
        <v>30</v>
      </c>
      <c r="BX18" s="36"/>
      <c r="BY18" s="36">
        <f>AY18+BG18+BO18+BW18</f>
        <v>120</v>
      </c>
      <c r="BZ18" s="35"/>
      <c r="CA18" s="47" t="s">
        <v>314</v>
      </c>
      <c r="CB18" s="47">
        <v>5</v>
      </c>
      <c r="CC18" s="47">
        <v>5</v>
      </c>
      <c r="CD18" s="47">
        <v>5</v>
      </c>
      <c r="CE18" s="36"/>
      <c r="CF18" s="34"/>
      <c r="CG18" s="34"/>
      <c r="CH18" s="35"/>
    </row>
    <row r="19" spans="1:94" ht="13">
      <c r="A19" s="36">
        <v>16</v>
      </c>
      <c r="B19" s="38" t="s">
        <v>323</v>
      </c>
      <c r="C19" s="36">
        <v>2</v>
      </c>
      <c r="E19" s="36" t="s">
        <v>290</v>
      </c>
      <c r="F19" s="36" t="s">
        <v>304</v>
      </c>
      <c r="G19" s="36" t="s">
        <v>319</v>
      </c>
      <c r="H19" s="39" t="s">
        <v>324</v>
      </c>
      <c r="I19" s="40" t="s">
        <v>297</v>
      </c>
      <c r="J19" s="40">
        <f t="shared" si="0"/>
        <v>315</v>
      </c>
      <c r="K19" s="41">
        <v>5</v>
      </c>
      <c r="L19" s="41">
        <v>5</v>
      </c>
      <c r="M19" s="41">
        <v>5</v>
      </c>
      <c r="N19" s="41">
        <v>5</v>
      </c>
      <c r="O19" s="41">
        <v>5</v>
      </c>
      <c r="P19" s="41">
        <v>10</v>
      </c>
      <c r="Q19" s="43">
        <f t="shared" si="1"/>
        <v>35</v>
      </c>
      <c r="R19" s="34" t="s">
        <v>276</v>
      </c>
      <c r="S19" s="41">
        <v>5</v>
      </c>
      <c r="T19" s="41">
        <v>5</v>
      </c>
      <c r="U19" s="41">
        <v>5</v>
      </c>
      <c r="V19" s="41">
        <v>5</v>
      </c>
      <c r="W19" s="41">
        <v>5</v>
      </c>
      <c r="X19" s="36">
        <v>10</v>
      </c>
      <c r="Y19" s="36">
        <f t="shared" si="2"/>
        <v>35</v>
      </c>
      <c r="Z19" s="46" t="s">
        <v>276</v>
      </c>
      <c r="AA19" s="41">
        <v>5</v>
      </c>
      <c r="AB19" s="41">
        <v>5</v>
      </c>
      <c r="AC19" s="41">
        <v>5</v>
      </c>
      <c r="AD19" s="41">
        <v>5</v>
      </c>
      <c r="AE19" s="41">
        <v>5</v>
      </c>
      <c r="AF19" s="34">
        <v>10</v>
      </c>
      <c r="AG19" s="36">
        <f t="shared" si="3"/>
        <v>35</v>
      </c>
      <c r="AH19" s="34" t="s">
        <v>276</v>
      </c>
      <c r="AI19" s="41">
        <v>5</v>
      </c>
      <c r="AJ19" s="41">
        <v>5</v>
      </c>
      <c r="AK19" s="41">
        <v>5</v>
      </c>
      <c r="AL19" s="41">
        <v>5</v>
      </c>
      <c r="AM19" s="41">
        <v>5</v>
      </c>
      <c r="AN19" s="34">
        <v>10</v>
      </c>
      <c r="AO19" s="48">
        <f t="shared" si="4"/>
        <v>35</v>
      </c>
      <c r="AP19" s="34" t="s">
        <v>276</v>
      </c>
      <c r="AQ19" s="34">
        <v>20</v>
      </c>
      <c r="AR19" s="35">
        <f t="shared" si="5"/>
        <v>160</v>
      </c>
      <c r="AS19" s="41">
        <v>5</v>
      </c>
      <c r="AT19" s="41">
        <v>5</v>
      </c>
      <c r="AU19" s="41">
        <v>5</v>
      </c>
      <c r="AV19" s="41">
        <v>5</v>
      </c>
      <c r="AW19" s="41">
        <v>5</v>
      </c>
      <c r="AX19" s="34">
        <v>10</v>
      </c>
      <c r="AY19" s="34">
        <f t="shared" si="6"/>
        <v>35</v>
      </c>
      <c r="AZ19" s="35" t="s">
        <v>276</v>
      </c>
      <c r="BA19" s="41">
        <v>5</v>
      </c>
      <c r="BB19" s="41">
        <v>5</v>
      </c>
      <c r="BC19" s="41">
        <v>5</v>
      </c>
      <c r="BD19" s="41">
        <v>5</v>
      </c>
      <c r="BE19" s="41">
        <v>5</v>
      </c>
      <c r="BF19" s="36">
        <v>10</v>
      </c>
      <c r="BG19" s="36">
        <f t="shared" si="7"/>
        <v>35</v>
      </c>
      <c r="BH19" s="45" t="s">
        <v>276</v>
      </c>
      <c r="BI19" s="41">
        <v>5</v>
      </c>
      <c r="BJ19" s="41">
        <v>5</v>
      </c>
      <c r="BK19" s="41">
        <v>5</v>
      </c>
      <c r="BL19" s="41">
        <v>5</v>
      </c>
      <c r="BM19" s="49">
        <v>5</v>
      </c>
      <c r="BN19" s="36">
        <v>10</v>
      </c>
      <c r="BO19" s="50">
        <f t="shared" si="8"/>
        <v>35</v>
      </c>
      <c r="BP19" s="46" t="s">
        <v>276</v>
      </c>
      <c r="BQ19" s="47">
        <v>5</v>
      </c>
      <c r="BR19" s="47">
        <v>5</v>
      </c>
      <c r="BS19" s="47">
        <v>5</v>
      </c>
      <c r="BT19" s="47">
        <v>5</v>
      </c>
      <c r="BU19" s="47">
        <v>5</v>
      </c>
      <c r="BV19" s="47">
        <v>5</v>
      </c>
      <c r="BW19" s="36">
        <f t="shared" si="9"/>
        <v>30</v>
      </c>
      <c r="BX19" s="36">
        <v>20</v>
      </c>
      <c r="BY19" s="36">
        <f t="shared" ref="BY19:BY33" si="10">AY19+BG19+BO19+BW19+BX19</f>
        <v>155</v>
      </c>
      <c r="BZ19" s="46" t="s">
        <v>277</v>
      </c>
      <c r="CA19" s="47">
        <v>5</v>
      </c>
      <c r="CB19" s="47">
        <v>5</v>
      </c>
      <c r="CC19" s="47">
        <v>5</v>
      </c>
      <c r="CD19" s="47">
        <v>5</v>
      </c>
      <c r="CE19" s="36"/>
      <c r="CF19" s="34"/>
      <c r="CG19" s="34"/>
      <c r="CH19" s="35"/>
    </row>
    <row r="20" spans="1:94" ht="13">
      <c r="A20" s="36">
        <v>17</v>
      </c>
      <c r="B20" s="38" t="s">
        <v>325</v>
      </c>
      <c r="C20" s="36">
        <v>2</v>
      </c>
      <c r="E20" s="36" t="s">
        <v>271</v>
      </c>
      <c r="F20" s="36" t="s">
        <v>304</v>
      </c>
      <c r="G20" s="36" t="s">
        <v>319</v>
      </c>
      <c r="H20" s="39" t="s">
        <v>326</v>
      </c>
      <c r="I20" s="40" t="s">
        <v>302</v>
      </c>
      <c r="J20" s="40">
        <f t="shared" si="0"/>
        <v>280</v>
      </c>
      <c r="K20" s="41">
        <v>5</v>
      </c>
      <c r="L20" s="41">
        <v>5</v>
      </c>
      <c r="M20" s="41">
        <v>5</v>
      </c>
      <c r="N20" s="41">
        <v>5</v>
      </c>
      <c r="O20" s="41">
        <v>5</v>
      </c>
      <c r="P20" s="41">
        <v>10</v>
      </c>
      <c r="Q20" s="43">
        <f t="shared" si="1"/>
        <v>35</v>
      </c>
      <c r="R20" s="34" t="s">
        <v>276</v>
      </c>
      <c r="S20" s="41">
        <v>5</v>
      </c>
      <c r="T20" s="41">
        <v>5</v>
      </c>
      <c r="U20" s="41" t="s">
        <v>314</v>
      </c>
      <c r="V20" s="41">
        <v>5</v>
      </c>
      <c r="W20" s="41">
        <v>5</v>
      </c>
      <c r="X20" s="34"/>
      <c r="Y20" s="36">
        <f t="shared" si="2"/>
        <v>20</v>
      </c>
      <c r="Z20" s="34"/>
      <c r="AA20" s="41">
        <v>5</v>
      </c>
      <c r="AB20" s="41">
        <v>5</v>
      </c>
      <c r="AC20" s="41">
        <v>5</v>
      </c>
      <c r="AD20" s="41">
        <v>5</v>
      </c>
      <c r="AE20" s="41">
        <v>5</v>
      </c>
      <c r="AF20" s="34">
        <v>10</v>
      </c>
      <c r="AG20" s="36">
        <f t="shared" si="3"/>
        <v>35</v>
      </c>
      <c r="AH20" s="34" t="s">
        <v>276</v>
      </c>
      <c r="AI20" s="41">
        <v>5</v>
      </c>
      <c r="AJ20" s="41">
        <v>5</v>
      </c>
      <c r="AK20" s="41">
        <v>5</v>
      </c>
      <c r="AL20" s="41">
        <v>5</v>
      </c>
      <c r="AM20" s="41">
        <v>5</v>
      </c>
      <c r="AN20" s="34">
        <v>10</v>
      </c>
      <c r="AO20" s="48">
        <f t="shared" si="4"/>
        <v>35</v>
      </c>
      <c r="AP20" s="34" t="s">
        <v>276</v>
      </c>
      <c r="AQ20" s="51"/>
      <c r="AR20" s="35">
        <f t="shared" si="5"/>
        <v>125</v>
      </c>
      <c r="AS20" s="41">
        <v>5</v>
      </c>
      <c r="AT20" s="41">
        <v>5</v>
      </c>
      <c r="AU20" s="41">
        <v>5</v>
      </c>
      <c r="AV20" s="41">
        <v>5</v>
      </c>
      <c r="AW20" s="41">
        <v>5</v>
      </c>
      <c r="AX20" s="34">
        <v>10</v>
      </c>
      <c r="AY20" s="34">
        <f t="shared" si="6"/>
        <v>35</v>
      </c>
      <c r="AZ20" s="35" t="s">
        <v>276</v>
      </c>
      <c r="BA20" s="41">
        <v>5</v>
      </c>
      <c r="BB20" s="41">
        <v>5</v>
      </c>
      <c r="BC20" s="41">
        <v>5</v>
      </c>
      <c r="BD20" s="41">
        <v>5</v>
      </c>
      <c r="BE20" s="41">
        <v>5</v>
      </c>
      <c r="BF20" s="36">
        <v>10</v>
      </c>
      <c r="BG20" s="36">
        <f t="shared" si="7"/>
        <v>35</v>
      </c>
      <c r="BH20" s="45" t="s">
        <v>276</v>
      </c>
      <c r="BI20" s="41">
        <v>5</v>
      </c>
      <c r="BJ20" s="41">
        <v>5</v>
      </c>
      <c r="BK20" s="41">
        <v>5</v>
      </c>
      <c r="BL20" s="41">
        <v>5</v>
      </c>
      <c r="BM20" s="49">
        <v>5</v>
      </c>
      <c r="BN20" s="36">
        <v>10</v>
      </c>
      <c r="BO20" s="50">
        <f t="shared" si="8"/>
        <v>35</v>
      </c>
      <c r="BP20" s="46" t="s">
        <v>276</v>
      </c>
      <c r="BQ20" s="47">
        <v>5</v>
      </c>
      <c r="BR20" s="47">
        <v>5</v>
      </c>
      <c r="BS20" s="47">
        <v>5</v>
      </c>
      <c r="BT20" s="47">
        <v>5</v>
      </c>
      <c r="BU20" s="47">
        <v>5</v>
      </c>
      <c r="BV20" s="47">
        <v>5</v>
      </c>
      <c r="BW20" s="36">
        <f t="shared" si="9"/>
        <v>30</v>
      </c>
      <c r="BX20" s="36">
        <v>20</v>
      </c>
      <c r="BY20" s="36">
        <f t="shared" si="10"/>
        <v>155</v>
      </c>
      <c r="BZ20" s="46" t="s">
        <v>277</v>
      </c>
      <c r="CA20" s="47">
        <v>5</v>
      </c>
      <c r="CB20" s="47">
        <v>5</v>
      </c>
      <c r="CC20" s="47">
        <v>5</v>
      </c>
      <c r="CD20" s="47">
        <v>5</v>
      </c>
      <c r="CE20" s="36"/>
      <c r="CF20" s="34"/>
      <c r="CG20" s="34"/>
      <c r="CH20" s="35"/>
    </row>
    <row r="21" spans="1:94" ht="13">
      <c r="A21" s="36">
        <v>18</v>
      </c>
      <c r="B21" s="38" t="s">
        <v>327</v>
      </c>
      <c r="C21" s="36">
        <v>2</v>
      </c>
      <c r="E21" s="36" t="s">
        <v>309</v>
      </c>
      <c r="F21" s="36" t="s">
        <v>304</v>
      </c>
      <c r="G21" s="36" t="s">
        <v>305</v>
      </c>
      <c r="H21" s="39" t="s">
        <v>326</v>
      </c>
      <c r="I21" s="40" t="s">
        <v>328</v>
      </c>
      <c r="J21" s="40">
        <f t="shared" si="0"/>
        <v>315</v>
      </c>
      <c r="K21" s="41">
        <v>5</v>
      </c>
      <c r="L21" s="41">
        <v>5</v>
      </c>
      <c r="M21" s="41">
        <v>5</v>
      </c>
      <c r="N21" s="41">
        <v>5</v>
      </c>
      <c r="O21" s="41">
        <v>5</v>
      </c>
      <c r="P21" s="41">
        <v>10</v>
      </c>
      <c r="Q21" s="43">
        <f t="shared" si="1"/>
        <v>35</v>
      </c>
      <c r="R21" s="34" t="s">
        <v>276</v>
      </c>
      <c r="S21" s="41">
        <v>5</v>
      </c>
      <c r="T21" s="41">
        <v>5</v>
      </c>
      <c r="U21" s="41">
        <v>5</v>
      </c>
      <c r="V21" s="41">
        <v>5</v>
      </c>
      <c r="W21" s="41">
        <v>5</v>
      </c>
      <c r="X21" s="36">
        <v>10</v>
      </c>
      <c r="Y21" s="36">
        <f t="shared" si="2"/>
        <v>35</v>
      </c>
      <c r="Z21" s="46" t="s">
        <v>276</v>
      </c>
      <c r="AA21" s="41">
        <v>5</v>
      </c>
      <c r="AB21" s="41">
        <v>5</v>
      </c>
      <c r="AC21" s="41">
        <v>5</v>
      </c>
      <c r="AD21" s="41">
        <v>5</v>
      </c>
      <c r="AE21" s="41">
        <v>5</v>
      </c>
      <c r="AF21" s="34">
        <v>10</v>
      </c>
      <c r="AG21" s="36">
        <f t="shared" si="3"/>
        <v>35</v>
      </c>
      <c r="AH21" s="34" t="s">
        <v>276</v>
      </c>
      <c r="AI21" s="41">
        <v>5</v>
      </c>
      <c r="AJ21" s="41">
        <v>5</v>
      </c>
      <c r="AK21" s="41">
        <v>5</v>
      </c>
      <c r="AL21" s="41">
        <v>5</v>
      </c>
      <c r="AM21" s="41">
        <v>5</v>
      </c>
      <c r="AN21" s="34">
        <v>10</v>
      </c>
      <c r="AO21" s="48">
        <f t="shared" si="4"/>
        <v>35</v>
      </c>
      <c r="AP21" s="34" t="s">
        <v>276</v>
      </c>
      <c r="AQ21" s="34">
        <v>20</v>
      </c>
      <c r="AR21" s="35">
        <f t="shared" si="5"/>
        <v>160</v>
      </c>
      <c r="AS21" s="41">
        <v>5</v>
      </c>
      <c r="AT21" s="41">
        <v>5</v>
      </c>
      <c r="AU21" s="41">
        <v>5</v>
      </c>
      <c r="AV21" s="41">
        <v>5</v>
      </c>
      <c r="AW21" s="41">
        <v>5</v>
      </c>
      <c r="AX21" s="34">
        <v>10</v>
      </c>
      <c r="AY21" s="34">
        <f t="shared" si="6"/>
        <v>35</v>
      </c>
      <c r="AZ21" s="35" t="s">
        <v>276</v>
      </c>
      <c r="BA21" s="41">
        <v>5</v>
      </c>
      <c r="BB21" s="41">
        <v>5</v>
      </c>
      <c r="BC21" s="41">
        <v>5</v>
      </c>
      <c r="BD21" s="41">
        <v>5</v>
      </c>
      <c r="BE21" s="41">
        <v>5</v>
      </c>
      <c r="BF21" s="36">
        <v>10</v>
      </c>
      <c r="BG21" s="36">
        <f t="shared" si="7"/>
        <v>35</v>
      </c>
      <c r="BH21" s="45" t="s">
        <v>276</v>
      </c>
      <c r="BI21" s="41">
        <v>5</v>
      </c>
      <c r="BJ21" s="41">
        <v>5</v>
      </c>
      <c r="BK21" s="41">
        <v>5</v>
      </c>
      <c r="BL21" s="41">
        <v>5</v>
      </c>
      <c r="BM21" s="49">
        <v>5</v>
      </c>
      <c r="BN21" s="36">
        <v>10</v>
      </c>
      <c r="BO21" s="50">
        <f t="shared" si="8"/>
        <v>35</v>
      </c>
      <c r="BP21" s="46" t="s">
        <v>276</v>
      </c>
      <c r="BQ21" s="47">
        <v>5</v>
      </c>
      <c r="BR21" s="47">
        <v>5</v>
      </c>
      <c r="BS21" s="47">
        <v>5</v>
      </c>
      <c r="BT21" s="47">
        <v>5</v>
      </c>
      <c r="BU21" s="47">
        <v>5</v>
      </c>
      <c r="BV21" s="47">
        <v>5</v>
      </c>
      <c r="BW21" s="36">
        <f t="shared" si="9"/>
        <v>30</v>
      </c>
      <c r="BX21" s="36">
        <v>20</v>
      </c>
      <c r="BY21" s="36">
        <f t="shared" si="10"/>
        <v>155</v>
      </c>
      <c r="BZ21" s="46" t="s">
        <v>277</v>
      </c>
      <c r="CA21" s="47">
        <v>5</v>
      </c>
      <c r="CB21" s="47">
        <v>5</v>
      </c>
      <c r="CC21" s="47">
        <v>5</v>
      </c>
      <c r="CD21" s="47">
        <v>5</v>
      </c>
      <c r="CE21" s="36"/>
      <c r="CF21" s="34"/>
      <c r="CG21" s="34"/>
      <c r="CH21" s="35"/>
    </row>
    <row r="22" spans="1:94" ht="13">
      <c r="A22" s="36">
        <v>19</v>
      </c>
      <c r="B22" s="38" t="s">
        <v>329</v>
      </c>
      <c r="C22" s="36">
        <v>2</v>
      </c>
      <c r="E22" s="36" t="s">
        <v>271</v>
      </c>
      <c r="F22" s="36" t="s">
        <v>299</v>
      </c>
      <c r="G22" s="36" t="s">
        <v>300</v>
      </c>
      <c r="H22" s="39" t="s">
        <v>326</v>
      </c>
      <c r="I22" s="40" t="s">
        <v>330</v>
      </c>
      <c r="J22" s="40">
        <f t="shared" si="0"/>
        <v>315</v>
      </c>
      <c r="K22" s="41">
        <v>5</v>
      </c>
      <c r="L22" s="41">
        <v>5</v>
      </c>
      <c r="M22" s="41">
        <v>5</v>
      </c>
      <c r="N22" s="41">
        <v>5</v>
      </c>
      <c r="O22" s="41">
        <v>5</v>
      </c>
      <c r="P22" s="41">
        <v>10</v>
      </c>
      <c r="Q22" s="43">
        <f t="shared" si="1"/>
        <v>35</v>
      </c>
      <c r="R22" s="34" t="s">
        <v>276</v>
      </c>
      <c r="S22" s="41">
        <v>5</v>
      </c>
      <c r="T22" s="41">
        <v>5</v>
      </c>
      <c r="U22" s="41">
        <v>5</v>
      </c>
      <c r="V22" s="41">
        <v>5</v>
      </c>
      <c r="W22" s="41">
        <v>5</v>
      </c>
      <c r="X22" s="36">
        <v>10</v>
      </c>
      <c r="Y22" s="36">
        <f t="shared" si="2"/>
        <v>35</v>
      </c>
      <c r="Z22" s="46" t="s">
        <v>276</v>
      </c>
      <c r="AA22" s="41">
        <v>5</v>
      </c>
      <c r="AB22" s="41">
        <v>5</v>
      </c>
      <c r="AC22" s="41">
        <v>5</v>
      </c>
      <c r="AD22" s="41">
        <v>5</v>
      </c>
      <c r="AE22" s="41">
        <v>5</v>
      </c>
      <c r="AF22" s="34">
        <v>10</v>
      </c>
      <c r="AG22" s="36">
        <f t="shared" si="3"/>
        <v>35</v>
      </c>
      <c r="AH22" s="34" t="s">
        <v>276</v>
      </c>
      <c r="AI22" s="41">
        <v>5</v>
      </c>
      <c r="AJ22" s="41">
        <v>5</v>
      </c>
      <c r="AK22" s="41">
        <v>5</v>
      </c>
      <c r="AL22" s="41">
        <v>5</v>
      </c>
      <c r="AM22" s="41">
        <v>5</v>
      </c>
      <c r="AN22" s="34">
        <v>10</v>
      </c>
      <c r="AO22" s="48">
        <f t="shared" si="4"/>
        <v>35</v>
      </c>
      <c r="AP22" s="34" t="s">
        <v>276</v>
      </c>
      <c r="AQ22" s="34">
        <v>20</v>
      </c>
      <c r="AR22" s="35">
        <f t="shared" si="5"/>
        <v>160</v>
      </c>
      <c r="AS22" s="41">
        <v>5</v>
      </c>
      <c r="AT22" s="41">
        <v>5</v>
      </c>
      <c r="AU22" s="41">
        <v>5</v>
      </c>
      <c r="AV22" s="41">
        <v>5</v>
      </c>
      <c r="AW22" s="41">
        <v>5</v>
      </c>
      <c r="AX22" s="34">
        <v>10</v>
      </c>
      <c r="AY22" s="34">
        <f t="shared" si="6"/>
        <v>35</v>
      </c>
      <c r="AZ22" s="35" t="s">
        <v>276</v>
      </c>
      <c r="BA22" s="41">
        <v>5</v>
      </c>
      <c r="BB22" s="41">
        <v>5</v>
      </c>
      <c r="BC22" s="41">
        <v>5</v>
      </c>
      <c r="BD22" s="41">
        <v>5</v>
      </c>
      <c r="BE22" s="41">
        <v>5</v>
      </c>
      <c r="BF22" s="36">
        <v>10</v>
      </c>
      <c r="BG22" s="36">
        <f t="shared" si="7"/>
        <v>35</v>
      </c>
      <c r="BH22" s="45" t="s">
        <v>276</v>
      </c>
      <c r="BI22" s="41">
        <v>5</v>
      </c>
      <c r="BJ22" s="41">
        <v>5</v>
      </c>
      <c r="BK22" s="41">
        <v>5</v>
      </c>
      <c r="BL22" s="41">
        <v>5</v>
      </c>
      <c r="BM22" s="49">
        <v>5</v>
      </c>
      <c r="BN22" s="36">
        <v>10</v>
      </c>
      <c r="BO22" s="50">
        <f t="shared" si="8"/>
        <v>35</v>
      </c>
      <c r="BP22" s="46" t="s">
        <v>276</v>
      </c>
      <c r="BQ22" s="47">
        <v>5</v>
      </c>
      <c r="BR22" s="47">
        <v>5</v>
      </c>
      <c r="BS22" s="47">
        <v>5</v>
      </c>
      <c r="BT22" s="47">
        <v>5</v>
      </c>
      <c r="BU22" s="47">
        <v>5</v>
      </c>
      <c r="BV22" s="47">
        <v>5</v>
      </c>
      <c r="BW22" s="36">
        <f t="shared" si="9"/>
        <v>30</v>
      </c>
      <c r="BX22" s="36">
        <v>20</v>
      </c>
      <c r="BY22" s="36">
        <f t="shared" si="10"/>
        <v>155</v>
      </c>
      <c r="BZ22" s="46" t="s">
        <v>277</v>
      </c>
      <c r="CA22" s="47">
        <v>5</v>
      </c>
      <c r="CB22" s="47">
        <v>5</v>
      </c>
      <c r="CC22" s="47">
        <v>5</v>
      </c>
      <c r="CD22" s="47">
        <v>5</v>
      </c>
      <c r="CE22" s="36"/>
      <c r="CF22" s="34"/>
      <c r="CG22" s="34"/>
      <c r="CH22" s="35"/>
    </row>
    <row r="23" spans="1:94" ht="13">
      <c r="A23" s="36">
        <v>20</v>
      </c>
      <c r="B23" s="38" t="s">
        <v>331</v>
      </c>
      <c r="C23" s="36">
        <v>2</v>
      </c>
      <c r="E23" s="36" t="s">
        <v>309</v>
      </c>
      <c r="F23" s="36" t="s">
        <v>299</v>
      </c>
      <c r="G23" s="36" t="s">
        <v>300</v>
      </c>
      <c r="H23" s="39" t="s">
        <v>326</v>
      </c>
      <c r="I23" s="40" t="s">
        <v>328</v>
      </c>
      <c r="J23" s="40">
        <f t="shared" si="0"/>
        <v>315</v>
      </c>
      <c r="K23" s="41">
        <v>5</v>
      </c>
      <c r="L23" s="41">
        <v>5</v>
      </c>
      <c r="M23" s="41">
        <v>5</v>
      </c>
      <c r="N23" s="41">
        <v>5</v>
      </c>
      <c r="O23" s="41">
        <v>5</v>
      </c>
      <c r="P23" s="41">
        <v>10</v>
      </c>
      <c r="Q23" s="43">
        <f t="shared" si="1"/>
        <v>35</v>
      </c>
      <c r="R23" s="34" t="s">
        <v>276</v>
      </c>
      <c r="S23" s="41">
        <v>5</v>
      </c>
      <c r="T23" s="41">
        <v>5</v>
      </c>
      <c r="U23" s="41">
        <v>5</v>
      </c>
      <c r="V23" s="41">
        <v>5</v>
      </c>
      <c r="W23" s="41">
        <v>5</v>
      </c>
      <c r="X23" s="36">
        <v>10</v>
      </c>
      <c r="Y23" s="36">
        <f t="shared" si="2"/>
        <v>35</v>
      </c>
      <c r="Z23" s="46" t="s">
        <v>276</v>
      </c>
      <c r="AA23" s="41">
        <v>5</v>
      </c>
      <c r="AB23" s="41">
        <v>5</v>
      </c>
      <c r="AC23" s="41">
        <v>5</v>
      </c>
      <c r="AD23" s="41">
        <v>5</v>
      </c>
      <c r="AE23" s="41">
        <v>5</v>
      </c>
      <c r="AF23" s="34">
        <v>10</v>
      </c>
      <c r="AG23" s="36">
        <f t="shared" si="3"/>
        <v>35</v>
      </c>
      <c r="AH23" s="34" t="s">
        <v>276</v>
      </c>
      <c r="AI23" s="41">
        <v>5</v>
      </c>
      <c r="AJ23" s="41">
        <v>5</v>
      </c>
      <c r="AK23" s="41">
        <v>5</v>
      </c>
      <c r="AL23" s="41">
        <v>5</v>
      </c>
      <c r="AM23" s="41">
        <v>5</v>
      </c>
      <c r="AN23" s="34">
        <v>10</v>
      </c>
      <c r="AO23" s="48">
        <f t="shared" si="4"/>
        <v>35</v>
      </c>
      <c r="AP23" s="34" t="s">
        <v>276</v>
      </c>
      <c r="AQ23" s="34">
        <v>20</v>
      </c>
      <c r="AR23" s="35">
        <f t="shared" si="5"/>
        <v>160</v>
      </c>
      <c r="AS23" s="41">
        <v>5</v>
      </c>
      <c r="AT23" s="41">
        <v>5</v>
      </c>
      <c r="AU23" s="41">
        <v>5</v>
      </c>
      <c r="AV23" s="41">
        <v>5</v>
      </c>
      <c r="AW23" s="41">
        <v>5</v>
      </c>
      <c r="AX23" s="34">
        <v>10</v>
      </c>
      <c r="AY23" s="34">
        <f t="shared" si="6"/>
        <v>35</v>
      </c>
      <c r="AZ23" s="35" t="s">
        <v>276</v>
      </c>
      <c r="BA23" s="41">
        <v>5</v>
      </c>
      <c r="BB23" s="41">
        <v>5</v>
      </c>
      <c r="BC23" s="41">
        <v>5</v>
      </c>
      <c r="BD23" s="41">
        <v>5</v>
      </c>
      <c r="BE23" s="41">
        <v>5</v>
      </c>
      <c r="BF23" s="36">
        <v>10</v>
      </c>
      <c r="BG23" s="36">
        <f t="shared" si="7"/>
        <v>35</v>
      </c>
      <c r="BH23" s="45" t="s">
        <v>276</v>
      </c>
      <c r="BI23" s="41">
        <v>5</v>
      </c>
      <c r="BJ23" s="41">
        <v>5</v>
      </c>
      <c r="BK23" s="41">
        <v>5</v>
      </c>
      <c r="BL23" s="41">
        <v>5</v>
      </c>
      <c r="BM23" s="49">
        <v>5</v>
      </c>
      <c r="BN23" s="36">
        <v>10</v>
      </c>
      <c r="BO23" s="50">
        <f t="shared" si="8"/>
        <v>35</v>
      </c>
      <c r="BP23" s="46" t="s">
        <v>276</v>
      </c>
      <c r="BQ23" s="47">
        <v>5</v>
      </c>
      <c r="BR23" s="47">
        <v>5</v>
      </c>
      <c r="BS23" s="47">
        <v>5</v>
      </c>
      <c r="BT23" s="47">
        <v>5</v>
      </c>
      <c r="BU23" s="47">
        <v>5</v>
      </c>
      <c r="BV23" s="47">
        <v>5</v>
      </c>
      <c r="BW23" s="36">
        <f t="shared" si="9"/>
        <v>30</v>
      </c>
      <c r="BX23" s="36">
        <v>20</v>
      </c>
      <c r="BY23" s="36">
        <f t="shared" si="10"/>
        <v>155</v>
      </c>
      <c r="BZ23" s="46" t="s">
        <v>277</v>
      </c>
      <c r="CA23" s="47">
        <v>5</v>
      </c>
      <c r="CB23" s="47">
        <v>5</v>
      </c>
      <c r="CC23" s="47">
        <v>5</v>
      </c>
      <c r="CD23" s="47">
        <v>5</v>
      </c>
      <c r="CE23" s="36"/>
      <c r="CF23" s="34"/>
      <c r="CG23" s="34"/>
      <c r="CH23" s="35"/>
    </row>
    <row r="24" spans="1:94" ht="13">
      <c r="A24" s="36">
        <v>21</v>
      </c>
      <c r="B24" s="37" t="s">
        <v>332</v>
      </c>
      <c r="C24" s="36">
        <v>3</v>
      </c>
      <c r="D24" s="38" t="s">
        <v>270</v>
      </c>
      <c r="E24" s="36" t="s">
        <v>290</v>
      </c>
      <c r="F24" s="36" t="s">
        <v>299</v>
      </c>
      <c r="G24" s="36" t="s">
        <v>333</v>
      </c>
      <c r="H24" s="39" t="s">
        <v>334</v>
      </c>
      <c r="I24" s="40" t="s">
        <v>302</v>
      </c>
      <c r="J24" s="40">
        <f t="shared" si="0"/>
        <v>315</v>
      </c>
      <c r="K24" s="41">
        <v>5</v>
      </c>
      <c r="L24" s="41">
        <v>5</v>
      </c>
      <c r="M24" s="41">
        <v>5</v>
      </c>
      <c r="N24" s="41">
        <v>5</v>
      </c>
      <c r="O24" s="41">
        <v>5</v>
      </c>
      <c r="P24" s="41">
        <v>10</v>
      </c>
      <c r="Q24" s="43">
        <f t="shared" si="1"/>
        <v>35</v>
      </c>
      <c r="R24" s="34" t="s">
        <v>276</v>
      </c>
      <c r="S24" s="41">
        <v>5</v>
      </c>
      <c r="T24" s="41">
        <v>5</v>
      </c>
      <c r="U24" s="41">
        <v>5</v>
      </c>
      <c r="V24" s="41">
        <v>5</v>
      </c>
      <c r="W24" s="41">
        <v>5</v>
      </c>
      <c r="X24" s="36">
        <v>10</v>
      </c>
      <c r="Y24" s="36">
        <f t="shared" si="2"/>
        <v>35</v>
      </c>
      <c r="Z24" s="46" t="s">
        <v>276</v>
      </c>
      <c r="AA24" s="41">
        <v>5</v>
      </c>
      <c r="AB24" s="41">
        <v>5</v>
      </c>
      <c r="AC24" s="56">
        <v>5</v>
      </c>
      <c r="AD24" s="41">
        <v>5</v>
      </c>
      <c r="AE24" s="41">
        <v>5</v>
      </c>
      <c r="AF24" s="34">
        <v>10</v>
      </c>
      <c r="AG24" s="36">
        <f t="shared" si="3"/>
        <v>35</v>
      </c>
      <c r="AH24" s="34" t="s">
        <v>276</v>
      </c>
      <c r="AI24" s="41">
        <v>5</v>
      </c>
      <c r="AJ24" s="41">
        <v>5</v>
      </c>
      <c r="AK24" s="41">
        <v>5</v>
      </c>
      <c r="AL24" s="41">
        <v>5</v>
      </c>
      <c r="AM24" s="41">
        <v>5</v>
      </c>
      <c r="AN24" s="34">
        <v>10</v>
      </c>
      <c r="AO24" s="48">
        <f t="shared" si="4"/>
        <v>35</v>
      </c>
      <c r="AP24" s="34" t="s">
        <v>276</v>
      </c>
      <c r="AQ24" s="34">
        <v>20</v>
      </c>
      <c r="AR24" s="35">
        <f t="shared" si="5"/>
        <v>160</v>
      </c>
      <c r="AS24" s="41">
        <v>5</v>
      </c>
      <c r="AT24" s="41">
        <v>5</v>
      </c>
      <c r="AU24" s="41">
        <v>5</v>
      </c>
      <c r="AV24" s="41">
        <v>5</v>
      </c>
      <c r="AW24" s="41">
        <v>5</v>
      </c>
      <c r="AX24" s="34">
        <v>10</v>
      </c>
      <c r="AY24" s="34">
        <f t="shared" si="6"/>
        <v>35</v>
      </c>
      <c r="AZ24" s="35" t="s">
        <v>276</v>
      </c>
      <c r="BA24" s="41">
        <v>5</v>
      </c>
      <c r="BB24" s="41">
        <v>5</v>
      </c>
      <c r="BC24" s="41">
        <v>5</v>
      </c>
      <c r="BD24" s="41">
        <v>5</v>
      </c>
      <c r="BE24" s="41">
        <v>5</v>
      </c>
      <c r="BF24" s="36">
        <v>10</v>
      </c>
      <c r="BG24" s="36">
        <f t="shared" si="7"/>
        <v>35</v>
      </c>
      <c r="BH24" s="45" t="s">
        <v>276</v>
      </c>
      <c r="BI24" s="41">
        <v>5</v>
      </c>
      <c r="BJ24" s="36">
        <v>5</v>
      </c>
      <c r="BK24" s="41">
        <v>5</v>
      </c>
      <c r="BL24" s="41">
        <v>5</v>
      </c>
      <c r="BM24" s="49">
        <v>5</v>
      </c>
      <c r="BN24" s="36">
        <v>10</v>
      </c>
      <c r="BO24" s="50">
        <f t="shared" si="8"/>
        <v>35</v>
      </c>
      <c r="BP24" s="46" t="s">
        <v>276</v>
      </c>
      <c r="BQ24" s="47">
        <v>5</v>
      </c>
      <c r="BR24" s="36">
        <v>5</v>
      </c>
      <c r="BS24" s="47">
        <v>5</v>
      </c>
      <c r="BT24" s="47">
        <v>5</v>
      </c>
      <c r="BU24" s="47">
        <v>5</v>
      </c>
      <c r="BV24" s="47">
        <v>5</v>
      </c>
      <c r="BW24" s="36">
        <f t="shared" si="9"/>
        <v>30</v>
      </c>
      <c r="BX24" s="36">
        <v>20</v>
      </c>
      <c r="BY24" s="36">
        <f t="shared" si="10"/>
        <v>155</v>
      </c>
      <c r="BZ24" s="46" t="s">
        <v>277</v>
      </c>
      <c r="CA24" s="47">
        <v>5</v>
      </c>
      <c r="CB24" s="47">
        <v>5</v>
      </c>
      <c r="CC24" s="47">
        <v>5</v>
      </c>
      <c r="CD24" s="47">
        <v>5</v>
      </c>
      <c r="CE24" s="47">
        <v>5</v>
      </c>
      <c r="CF24" s="34"/>
      <c r="CG24" s="34"/>
      <c r="CH24" s="35"/>
    </row>
    <row r="25" spans="1:94" ht="13">
      <c r="A25" s="36">
        <v>22</v>
      </c>
      <c r="B25" s="37" t="s">
        <v>335</v>
      </c>
      <c r="C25" s="36">
        <v>3</v>
      </c>
      <c r="E25" s="54" t="s">
        <v>294</v>
      </c>
      <c r="F25" s="36" t="s">
        <v>299</v>
      </c>
      <c r="G25" s="36" t="s">
        <v>333</v>
      </c>
      <c r="H25" s="39" t="s">
        <v>336</v>
      </c>
      <c r="I25" s="40" t="s">
        <v>337</v>
      </c>
      <c r="J25" s="40">
        <f t="shared" si="0"/>
        <v>315</v>
      </c>
      <c r="K25" s="41">
        <v>5</v>
      </c>
      <c r="L25" s="41">
        <v>5</v>
      </c>
      <c r="M25" s="41">
        <v>5</v>
      </c>
      <c r="N25" s="41">
        <v>5</v>
      </c>
      <c r="O25" s="41">
        <v>5</v>
      </c>
      <c r="P25" s="41">
        <v>10</v>
      </c>
      <c r="Q25" s="43">
        <f t="shared" si="1"/>
        <v>35</v>
      </c>
      <c r="R25" s="34" t="s">
        <v>276</v>
      </c>
      <c r="S25" s="41">
        <v>5</v>
      </c>
      <c r="T25" s="41">
        <v>5</v>
      </c>
      <c r="U25" s="41">
        <v>5</v>
      </c>
      <c r="V25" s="41">
        <v>5</v>
      </c>
      <c r="W25" s="41">
        <v>5</v>
      </c>
      <c r="X25" s="36">
        <v>10</v>
      </c>
      <c r="Y25" s="36">
        <f t="shared" si="2"/>
        <v>35</v>
      </c>
      <c r="Z25" s="46" t="s">
        <v>276</v>
      </c>
      <c r="AA25" s="41">
        <v>5</v>
      </c>
      <c r="AB25" s="41">
        <v>5</v>
      </c>
      <c r="AC25" s="41">
        <v>5</v>
      </c>
      <c r="AD25" s="41">
        <v>5</v>
      </c>
      <c r="AE25" s="41">
        <v>5</v>
      </c>
      <c r="AF25" s="34">
        <v>10</v>
      </c>
      <c r="AG25" s="36">
        <f t="shared" si="3"/>
        <v>35</v>
      </c>
      <c r="AH25" s="34" t="s">
        <v>276</v>
      </c>
      <c r="AI25" s="41">
        <v>5</v>
      </c>
      <c r="AJ25" s="41">
        <v>5</v>
      </c>
      <c r="AK25" s="41">
        <v>5</v>
      </c>
      <c r="AL25" s="41">
        <v>5</v>
      </c>
      <c r="AM25" s="41">
        <v>5</v>
      </c>
      <c r="AN25" s="34">
        <v>10</v>
      </c>
      <c r="AO25" s="48">
        <f t="shared" si="4"/>
        <v>35</v>
      </c>
      <c r="AP25" s="34" t="s">
        <v>276</v>
      </c>
      <c r="AQ25" s="34">
        <v>20</v>
      </c>
      <c r="AR25" s="35">
        <f t="shared" si="5"/>
        <v>160</v>
      </c>
      <c r="AS25" s="41">
        <v>5</v>
      </c>
      <c r="AT25" s="41">
        <v>5</v>
      </c>
      <c r="AU25" s="41">
        <v>5</v>
      </c>
      <c r="AV25" s="41">
        <v>5</v>
      </c>
      <c r="AW25" s="41">
        <v>5</v>
      </c>
      <c r="AX25" s="34">
        <v>10</v>
      </c>
      <c r="AY25" s="34">
        <f t="shared" si="6"/>
        <v>35</v>
      </c>
      <c r="AZ25" s="35" t="s">
        <v>276</v>
      </c>
      <c r="BA25" s="41">
        <v>5</v>
      </c>
      <c r="BB25" s="41">
        <v>5</v>
      </c>
      <c r="BC25" s="41">
        <v>5</v>
      </c>
      <c r="BD25" s="41">
        <v>5</v>
      </c>
      <c r="BE25" s="41">
        <v>5</v>
      </c>
      <c r="BF25" s="36">
        <v>10</v>
      </c>
      <c r="BG25" s="36">
        <f t="shared" si="7"/>
        <v>35</v>
      </c>
      <c r="BH25" s="45" t="s">
        <v>276</v>
      </c>
      <c r="BI25" s="41">
        <v>5</v>
      </c>
      <c r="BJ25" s="41">
        <v>5</v>
      </c>
      <c r="BK25" s="41">
        <v>5</v>
      </c>
      <c r="BL25" s="41">
        <v>5</v>
      </c>
      <c r="BM25" s="49">
        <v>5</v>
      </c>
      <c r="BN25" s="36">
        <v>10</v>
      </c>
      <c r="BO25" s="50">
        <f t="shared" si="8"/>
        <v>35</v>
      </c>
      <c r="BP25" s="46" t="s">
        <v>276</v>
      </c>
      <c r="BQ25" s="47">
        <v>5</v>
      </c>
      <c r="BR25" s="47">
        <v>5</v>
      </c>
      <c r="BS25" s="47">
        <v>5</v>
      </c>
      <c r="BT25" s="47">
        <v>5</v>
      </c>
      <c r="BU25" s="47">
        <v>5</v>
      </c>
      <c r="BV25" s="47">
        <v>5</v>
      </c>
      <c r="BW25" s="36">
        <f t="shared" si="9"/>
        <v>30</v>
      </c>
      <c r="BX25" s="36">
        <v>20</v>
      </c>
      <c r="BY25" s="36">
        <f t="shared" si="10"/>
        <v>155</v>
      </c>
      <c r="BZ25" s="46" t="s">
        <v>277</v>
      </c>
      <c r="CA25" s="47">
        <v>5</v>
      </c>
      <c r="CB25" s="47">
        <v>5</v>
      </c>
      <c r="CC25" s="47">
        <v>5</v>
      </c>
      <c r="CD25" s="47">
        <v>5</v>
      </c>
      <c r="CE25" s="47">
        <v>5</v>
      </c>
      <c r="CF25" s="34"/>
      <c r="CG25" s="34"/>
      <c r="CH25" s="35"/>
    </row>
    <row r="26" spans="1:94" ht="13">
      <c r="A26" s="36">
        <v>23</v>
      </c>
      <c r="B26" s="37" t="s">
        <v>338</v>
      </c>
      <c r="C26" s="36">
        <v>3</v>
      </c>
      <c r="E26" s="36" t="s">
        <v>294</v>
      </c>
      <c r="F26" s="36" t="s">
        <v>299</v>
      </c>
      <c r="G26" s="36" t="s">
        <v>333</v>
      </c>
      <c r="H26" s="39" t="s">
        <v>336</v>
      </c>
      <c r="I26" s="40" t="s">
        <v>337</v>
      </c>
      <c r="J26" s="40">
        <f t="shared" si="0"/>
        <v>315</v>
      </c>
      <c r="K26" s="41">
        <v>5</v>
      </c>
      <c r="L26" s="41">
        <v>5</v>
      </c>
      <c r="M26" s="41">
        <v>5</v>
      </c>
      <c r="N26" s="41">
        <v>5</v>
      </c>
      <c r="O26" s="41">
        <v>5</v>
      </c>
      <c r="P26" s="41">
        <v>10</v>
      </c>
      <c r="Q26" s="43">
        <f t="shared" si="1"/>
        <v>35</v>
      </c>
      <c r="R26" s="34" t="s">
        <v>276</v>
      </c>
      <c r="S26" s="41">
        <v>5</v>
      </c>
      <c r="T26" s="41">
        <v>5</v>
      </c>
      <c r="U26" s="41">
        <v>5</v>
      </c>
      <c r="V26" s="41">
        <v>5</v>
      </c>
      <c r="W26" s="41">
        <v>5</v>
      </c>
      <c r="X26" s="36">
        <v>10</v>
      </c>
      <c r="Y26" s="36">
        <f t="shared" si="2"/>
        <v>35</v>
      </c>
      <c r="Z26" s="46" t="s">
        <v>276</v>
      </c>
      <c r="AA26" s="41">
        <v>5</v>
      </c>
      <c r="AB26" s="41">
        <v>5</v>
      </c>
      <c r="AC26" s="41">
        <v>5</v>
      </c>
      <c r="AD26" s="41">
        <v>5</v>
      </c>
      <c r="AE26" s="41">
        <v>5</v>
      </c>
      <c r="AF26" s="34">
        <v>10</v>
      </c>
      <c r="AG26" s="36">
        <f t="shared" si="3"/>
        <v>35</v>
      </c>
      <c r="AH26" s="34" t="s">
        <v>276</v>
      </c>
      <c r="AI26" s="41">
        <v>5</v>
      </c>
      <c r="AJ26" s="41">
        <v>5</v>
      </c>
      <c r="AK26" s="41">
        <v>5</v>
      </c>
      <c r="AL26" s="41">
        <v>5</v>
      </c>
      <c r="AM26" s="41">
        <v>5</v>
      </c>
      <c r="AN26" s="34">
        <v>10</v>
      </c>
      <c r="AO26" s="48">
        <f t="shared" si="4"/>
        <v>35</v>
      </c>
      <c r="AP26" s="34" t="s">
        <v>276</v>
      </c>
      <c r="AQ26" s="34">
        <v>20</v>
      </c>
      <c r="AR26" s="35">
        <f t="shared" si="5"/>
        <v>160</v>
      </c>
      <c r="AS26" s="41">
        <v>5</v>
      </c>
      <c r="AT26" s="41">
        <v>5</v>
      </c>
      <c r="AU26" s="41">
        <v>5</v>
      </c>
      <c r="AV26" s="41">
        <v>5</v>
      </c>
      <c r="AW26" s="41">
        <v>5</v>
      </c>
      <c r="AX26" s="34">
        <v>10</v>
      </c>
      <c r="AY26" s="34">
        <f t="shared" si="6"/>
        <v>35</v>
      </c>
      <c r="AZ26" s="35" t="s">
        <v>276</v>
      </c>
      <c r="BA26" s="41">
        <v>5</v>
      </c>
      <c r="BB26" s="41">
        <v>5</v>
      </c>
      <c r="BC26" s="41">
        <v>5</v>
      </c>
      <c r="BD26" s="41">
        <v>5</v>
      </c>
      <c r="BE26" s="41">
        <v>5</v>
      </c>
      <c r="BF26" s="36">
        <v>10</v>
      </c>
      <c r="BG26" s="36">
        <f t="shared" si="7"/>
        <v>35</v>
      </c>
      <c r="BH26" s="45" t="s">
        <v>276</v>
      </c>
      <c r="BI26" s="41">
        <v>5</v>
      </c>
      <c r="BJ26" s="41">
        <v>5</v>
      </c>
      <c r="BK26" s="41">
        <v>5</v>
      </c>
      <c r="BL26" s="41">
        <v>5</v>
      </c>
      <c r="BM26" s="49">
        <v>5</v>
      </c>
      <c r="BN26" s="36">
        <v>10</v>
      </c>
      <c r="BO26" s="50">
        <f t="shared" si="8"/>
        <v>35</v>
      </c>
      <c r="BP26" s="46" t="s">
        <v>276</v>
      </c>
      <c r="BQ26" s="47">
        <v>5</v>
      </c>
      <c r="BR26" s="47">
        <v>5</v>
      </c>
      <c r="BS26" s="47">
        <v>5</v>
      </c>
      <c r="BT26" s="47">
        <v>5</v>
      </c>
      <c r="BU26" s="47">
        <v>5</v>
      </c>
      <c r="BV26" s="47">
        <v>5</v>
      </c>
      <c r="BW26" s="36">
        <f t="shared" si="9"/>
        <v>30</v>
      </c>
      <c r="BX26" s="36">
        <v>20</v>
      </c>
      <c r="BY26" s="36">
        <f t="shared" si="10"/>
        <v>155</v>
      </c>
      <c r="BZ26" s="46" t="s">
        <v>277</v>
      </c>
      <c r="CA26" s="47">
        <v>5</v>
      </c>
      <c r="CB26" s="47">
        <v>5</v>
      </c>
      <c r="CC26" s="47">
        <v>5</v>
      </c>
      <c r="CD26" s="47">
        <v>5</v>
      </c>
      <c r="CE26" s="47">
        <v>5</v>
      </c>
      <c r="CF26" s="34"/>
      <c r="CG26" s="34"/>
      <c r="CH26" s="35"/>
    </row>
    <row r="27" spans="1:94" ht="13" hidden="1">
      <c r="A27" s="57">
        <v>24</v>
      </c>
      <c r="B27" s="57" t="s">
        <v>339</v>
      </c>
      <c r="C27" s="57">
        <v>3</v>
      </c>
      <c r="D27" s="57"/>
      <c r="E27" s="57" t="s">
        <v>340</v>
      </c>
      <c r="F27" s="57" t="s">
        <v>299</v>
      </c>
      <c r="G27" s="57" t="s">
        <v>333</v>
      </c>
      <c r="H27" s="58" t="s">
        <v>341</v>
      </c>
      <c r="I27" s="59" t="s">
        <v>295</v>
      </c>
      <c r="J27" s="60">
        <f t="shared" si="0"/>
        <v>20</v>
      </c>
      <c r="K27" s="59"/>
      <c r="L27" s="61"/>
      <c r="M27" s="61"/>
      <c r="N27" s="61"/>
      <c r="O27" s="61"/>
      <c r="P27" s="61"/>
      <c r="Q27" s="43">
        <f t="shared" si="1"/>
        <v>0</v>
      </c>
      <c r="R27" s="62"/>
      <c r="S27" s="59"/>
      <c r="T27" s="62"/>
      <c r="U27" s="62"/>
      <c r="V27" s="62"/>
      <c r="W27" s="62"/>
      <c r="X27" s="62"/>
      <c r="Y27" s="62"/>
      <c r="Z27" s="62"/>
      <c r="AA27" s="62"/>
      <c r="AB27" s="62"/>
      <c r="AC27" s="62"/>
      <c r="AD27" s="62"/>
      <c r="AE27" s="62"/>
      <c r="AF27" s="62"/>
      <c r="AG27" s="62"/>
      <c r="AH27" s="62"/>
      <c r="AI27" s="57"/>
      <c r="AJ27" s="57"/>
      <c r="AK27" s="57"/>
      <c r="AL27" s="57"/>
      <c r="AM27" s="62"/>
      <c r="AN27" s="62"/>
      <c r="AO27" s="63"/>
      <c r="AP27" s="63"/>
      <c r="AQ27" s="63"/>
      <c r="AR27" s="35">
        <f t="shared" si="5"/>
        <v>0</v>
      </c>
      <c r="AS27" s="57"/>
      <c r="AT27" s="57"/>
      <c r="AU27" s="57"/>
      <c r="AV27" s="62"/>
      <c r="AW27" s="62"/>
      <c r="AX27" s="62"/>
      <c r="AY27" s="34">
        <f t="shared" si="6"/>
        <v>0</v>
      </c>
      <c r="AZ27" s="64"/>
      <c r="BA27" s="57"/>
      <c r="BB27" s="57"/>
      <c r="BC27" s="57"/>
      <c r="BD27" s="57"/>
      <c r="BE27" s="57"/>
      <c r="BF27" s="62"/>
      <c r="BG27" s="62"/>
      <c r="BH27" s="64"/>
      <c r="BI27" s="57"/>
      <c r="BJ27" s="57"/>
      <c r="BK27" s="57"/>
      <c r="BL27" s="57"/>
      <c r="BM27" s="57"/>
      <c r="BN27" s="62"/>
      <c r="BO27" s="57"/>
      <c r="BP27" s="62"/>
      <c r="BQ27" s="57"/>
      <c r="BR27" s="57"/>
      <c r="BS27" s="57"/>
      <c r="BT27" s="57"/>
      <c r="BU27" s="57"/>
      <c r="BV27" s="65">
        <v>5</v>
      </c>
      <c r="BW27" s="62"/>
      <c r="BX27" s="66">
        <v>20</v>
      </c>
      <c r="BY27" s="66">
        <f t="shared" si="10"/>
        <v>20</v>
      </c>
      <c r="BZ27" s="67" t="s">
        <v>277</v>
      </c>
      <c r="CA27" s="57"/>
      <c r="CB27" s="57"/>
      <c r="CC27" s="57"/>
      <c r="CD27" s="57"/>
      <c r="CE27" s="57"/>
      <c r="CF27" s="62"/>
      <c r="CG27" s="62"/>
      <c r="CH27" s="64"/>
      <c r="CI27" s="62"/>
      <c r="CJ27" s="62"/>
      <c r="CK27" s="62"/>
      <c r="CL27" s="62"/>
      <c r="CM27" s="62"/>
      <c r="CN27" s="62"/>
      <c r="CO27" s="62"/>
      <c r="CP27" s="62"/>
    </row>
    <row r="28" spans="1:94" ht="13">
      <c r="A28" s="36">
        <v>25</v>
      </c>
      <c r="B28" s="37" t="s">
        <v>342</v>
      </c>
      <c r="C28" s="36">
        <v>3</v>
      </c>
      <c r="E28" s="36" t="s">
        <v>294</v>
      </c>
      <c r="F28" s="36" t="s">
        <v>299</v>
      </c>
      <c r="G28" s="36" t="s">
        <v>343</v>
      </c>
      <c r="H28" s="39" t="s">
        <v>344</v>
      </c>
      <c r="I28" s="40" t="s">
        <v>345</v>
      </c>
      <c r="J28" s="40">
        <f t="shared" si="0"/>
        <v>280</v>
      </c>
      <c r="K28" s="41">
        <v>5</v>
      </c>
      <c r="L28" s="41">
        <v>5</v>
      </c>
      <c r="M28" s="41">
        <v>5</v>
      </c>
      <c r="N28" s="41">
        <v>5</v>
      </c>
      <c r="O28" s="41">
        <v>5</v>
      </c>
      <c r="P28" s="41">
        <v>10</v>
      </c>
      <c r="Q28" s="43">
        <f t="shared" si="1"/>
        <v>35</v>
      </c>
      <c r="R28" s="34" t="s">
        <v>276</v>
      </c>
      <c r="S28" s="41">
        <v>5</v>
      </c>
      <c r="T28" s="41">
        <v>5</v>
      </c>
      <c r="U28" s="41">
        <v>5</v>
      </c>
      <c r="V28" s="41">
        <v>5</v>
      </c>
      <c r="W28" s="41">
        <v>5</v>
      </c>
      <c r="X28" s="36">
        <v>10</v>
      </c>
      <c r="Y28" s="36">
        <f t="shared" ref="Y28:Y35" si="11">SUM(S28:X28)</f>
        <v>35</v>
      </c>
      <c r="Z28" s="46" t="s">
        <v>276</v>
      </c>
      <c r="AA28" s="41">
        <v>5</v>
      </c>
      <c r="AB28" s="41">
        <v>5</v>
      </c>
      <c r="AC28" s="41">
        <v>5</v>
      </c>
      <c r="AD28" s="41">
        <v>5</v>
      </c>
      <c r="AE28" s="41">
        <v>5</v>
      </c>
      <c r="AF28" s="34">
        <v>10</v>
      </c>
      <c r="AG28" s="36">
        <f t="shared" ref="AG28:AG35" si="12">SUM(AA28:AF28)</f>
        <v>35</v>
      </c>
      <c r="AH28" s="34" t="s">
        <v>276</v>
      </c>
      <c r="AI28" s="41">
        <v>5</v>
      </c>
      <c r="AJ28" s="41">
        <v>5</v>
      </c>
      <c r="AK28" s="41">
        <v>5</v>
      </c>
      <c r="AL28" s="41" t="s">
        <v>292</v>
      </c>
      <c r="AM28" s="41">
        <v>5</v>
      </c>
      <c r="AN28" s="35"/>
      <c r="AO28" s="48">
        <f t="shared" ref="AO28:AO35" si="13">SUM(AI28:AN28)</f>
        <v>20</v>
      </c>
      <c r="AP28" s="34"/>
      <c r="AQ28" s="51"/>
      <c r="AR28" s="35">
        <f t="shared" si="5"/>
        <v>125</v>
      </c>
      <c r="AS28" s="41">
        <v>5</v>
      </c>
      <c r="AT28" s="41">
        <v>5</v>
      </c>
      <c r="AU28" s="41">
        <v>5</v>
      </c>
      <c r="AV28" s="41">
        <v>5</v>
      </c>
      <c r="AW28" s="41">
        <v>5</v>
      </c>
      <c r="AX28" s="34">
        <v>10</v>
      </c>
      <c r="AY28" s="34">
        <f t="shared" si="6"/>
        <v>35</v>
      </c>
      <c r="AZ28" s="35" t="s">
        <v>276</v>
      </c>
      <c r="BA28" s="41">
        <v>5</v>
      </c>
      <c r="BB28" s="41">
        <v>5</v>
      </c>
      <c r="BC28" s="41">
        <v>5</v>
      </c>
      <c r="BD28" s="41">
        <v>5</v>
      </c>
      <c r="BE28" s="41">
        <v>5</v>
      </c>
      <c r="BF28" s="36">
        <v>10</v>
      </c>
      <c r="BG28" s="36">
        <f t="shared" ref="BG28:BG35" si="14">SUM(BA28:BF28)</f>
        <v>35</v>
      </c>
      <c r="BH28" s="45" t="s">
        <v>276</v>
      </c>
      <c r="BI28" s="41">
        <v>5</v>
      </c>
      <c r="BJ28" s="41">
        <v>5</v>
      </c>
      <c r="BK28" s="41">
        <v>5</v>
      </c>
      <c r="BL28" s="41">
        <v>5</v>
      </c>
      <c r="BM28" s="49">
        <v>5</v>
      </c>
      <c r="BN28" s="36">
        <v>10</v>
      </c>
      <c r="BO28" s="50">
        <f t="shared" ref="BO28:BO35" si="15">SUM(BI28:BN28)</f>
        <v>35</v>
      </c>
      <c r="BP28" s="46" t="s">
        <v>276</v>
      </c>
      <c r="BQ28" s="47">
        <v>5</v>
      </c>
      <c r="BR28" s="47">
        <v>5</v>
      </c>
      <c r="BS28" s="47">
        <v>5</v>
      </c>
      <c r="BT28" s="47">
        <v>5</v>
      </c>
      <c r="BU28" s="47">
        <v>5</v>
      </c>
      <c r="BV28" s="47">
        <v>5</v>
      </c>
      <c r="BW28" s="36">
        <f t="shared" ref="BW28:BW35" si="16">SUM(BQ28:BV28)</f>
        <v>30</v>
      </c>
      <c r="BX28" s="36">
        <v>20</v>
      </c>
      <c r="BY28" s="36">
        <f t="shared" si="10"/>
        <v>155</v>
      </c>
      <c r="BZ28" s="46" t="s">
        <v>277</v>
      </c>
      <c r="CA28" s="47">
        <v>5</v>
      </c>
      <c r="CB28" s="47">
        <v>5</v>
      </c>
      <c r="CC28" s="47">
        <v>5</v>
      </c>
      <c r="CD28" s="47">
        <v>5</v>
      </c>
      <c r="CE28" s="47">
        <v>5</v>
      </c>
      <c r="CF28" s="34"/>
      <c r="CG28" s="34"/>
      <c r="CH28" s="35"/>
    </row>
    <row r="29" spans="1:94" ht="13">
      <c r="A29" s="36">
        <v>26</v>
      </c>
      <c r="B29" s="37" t="s">
        <v>346</v>
      </c>
      <c r="C29" s="36">
        <v>3</v>
      </c>
      <c r="E29" s="36" t="s">
        <v>290</v>
      </c>
      <c r="F29" s="36" t="s">
        <v>299</v>
      </c>
      <c r="G29" s="36" t="s">
        <v>343</v>
      </c>
      <c r="H29" s="39" t="s">
        <v>347</v>
      </c>
      <c r="I29" s="40" t="s">
        <v>330</v>
      </c>
      <c r="J29" s="40">
        <f t="shared" si="0"/>
        <v>280</v>
      </c>
      <c r="K29" s="41">
        <v>5</v>
      </c>
      <c r="L29" s="41">
        <v>5</v>
      </c>
      <c r="M29" s="41">
        <v>5</v>
      </c>
      <c r="N29" s="41">
        <v>5</v>
      </c>
      <c r="O29" s="41">
        <v>5</v>
      </c>
      <c r="P29" s="41">
        <v>10</v>
      </c>
      <c r="Q29" s="43">
        <f t="shared" si="1"/>
        <v>35</v>
      </c>
      <c r="R29" s="34" t="s">
        <v>276</v>
      </c>
      <c r="S29" s="41">
        <v>5</v>
      </c>
      <c r="T29" s="41">
        <v>5</v>
      </c>
      <c r="U29" s="41">
        <v>5</v>
      </c>
      <c r="V29" s="41">
        <v>5</v>
      </c>
      <c r="W29" s="41">
        <v>5</v>
      </c>
      <c r="X29" s="36">
        <v>10</v>
      </c>
      <c r="Y29" s="36">
        <f t="shared" si="11"/>
        <v>35</v>
      </c>
      <c r="Z29" s="46" t="s">
        <v>276</v>
      </c>
      <c r="AA29" s="41" t="s">
        <v>292</v>
      </c>
      <c r="AB29" s="41">
        <v>5</v>
      </c>
      <c r="AC29" s="41">
        <v>5</v>
      </c>
      <c r="AD29" s="41">
        <v>5</v>
      </c>
      <c r="AE29" s="41">
        <v>5</v>
      </c>
      <c r="AF29" s="34"/>
      <c r="AG29" s="36">
        <f t="shared" si="12"/>
        <v>20</v>
      </c>
      <c r="AH29" s="34"/>
      <c r="AI29" s="41">
        <v>5</v>
      </c>
      <c r="AJ29" s="41">
        <v>5</v>
      </c>
      <c r="AK29" s="41">
        <v>5</v>
      </c>
      <c r="AL29" s="41">
        <v>5</v>
      </c>
      <c r="AM29" s="41">
        <v>5</v>
      </c>
      <c r="AN29" s="34">
        <v>10</v>
      </c>
      <c r="AO29" s="48">
        <f t="shared" si="13"/>
        <v>35</v>
      </c>
      <c r="AP29" s="34" t="s">
        <v>276</v>
      </c>
      <c r="AQ29" s="51"/>
      <c r="AR29" s="35">
        <f t="shared" si="5"/>
        <v>125</v>
      </c>
      <c r="AS29" s="41">
        <v>5</v>
      </c>
      <c r="AT29" s="41">
        <v>5</v>
      </c>
      <c r="AU29" s="41">
        <v>5</v>
      </c>
      <c r="AV29" s="41">
        <v>5</v>
      </c>
      <c r="AW29" s="41">
        <v>5</v>
      </c>
      <c r="AX29" s="34">
        <v>10</v>
      </c>
      <c r="AY29" s="34">
        <f t="shared" si="6"/>
        <v>35</v>
      </c>
      <c r="AZ29" s="35" t="s">
        <v>276</v>
      </c>
      <c r="BA29" s="41">
        <v>5</v>
      </c>
      <c r="BB29" s="41">
        <v>5</v>
      </c>
      <c r="BC29" s="41">
        <v>5</v>
      </c>
      <c r="BD29" s="41">
        <v>5</v>
      </c>
      <c r="BE29" s="41">
        <v>5</v>
      </c>
      <c r="BF29" s="36">
        <v>10</v>
      </c>
      <c r="BG29" s="36">
        <f t="shared" si="14"/>
        <v>35</v>
      </c>
      <c r="BH29" s="45" t="s">
        <v>276</v>
      </c>
      <c r="BI29" s="41">
        <v>5</v>
      </c>
      <c r="BJ29" s="41">
        <v>5</v>
      </c>
      <c r="BK29" s="41">
        <v>5</v>
      </c>
      <c r="BL29" s="41">
        <v>5</v>
      </c>
      <c r="BM29" s="49">
        <v>5</v>
      </c>
      <c r="BN29" s="36">
        <v>10</v>
      </c>
      <c r="BO29" s="50">
        <f t="shared" si="15"/>
        <v>35</v>
      </c>
      <c r="BP29" s="46" t="s">
        <v>276</v>
      </c>
      <c r="BQ29" s="47">
        <v>5</v>
      </c>
      <c r="BR29" s="47">
        <v>5</v>
      </c>
      <c r="BS29" s="47">
        <v>5</v>
      </c>
      <c r="BT29" s="47">
        <v>5</v>
      </c>
      <c r="BU29" s="47">
        <v>5</v>
      </c>
      <c r="BV29" s="47">
        <v>5</v>
      </c>
      <c r="BW29" s="36">
        <f t="shared" si="16"/>
        <v>30</v>
      </c>
      <c r="BX29" s="36">
        <v>20</v>
      </c>
      <c r="BY29" s="36">
        <f t="shared" si="10"/>
        <v>155</v>
      </c>
      <c r="BZ29" s="46" t="s">
        <v>277</v>
      </c>
      <c r="CA29" s="47">
        <v>5</v>
      </c>
      <c r="CB29" s="47">
        <v>5</v>
      </c>
      <c r="CC29" s="47">
        <v>5</v>
      </c>
      <c r="CD29" s="47">
        <v>5</v>
      </c>
      <c r="CE29" s="47">
        <v>5</v>
      </c>
      <c r="CF29" s="34"/>
      <c r="CG29" s="34"/>
      <c r="CH29" s="35"/>
    </row>
    <row r="30" spans="1:94" ht="13">
      <c r="A30" s="36">
        <v>27</v>
      </c>
      <c r="B30" s="37" t="s">
        <v>348</v>
      </c>
      <c r="C30" s="36">
        <v>3</v>
      </c>
      <c r="E30" s="36" t="s">
        <v>294</v>
      </c>
      <c r="F30" s="36" t="s">
        <v>299</v>
      </c>
      <c r="G30" s="36" t="s">
        <v>343</v>
      </c>
      <c r="H30" s="39" t="s">
        <v>349</v>
      </c>
      <c r="I30" s="40" t="s">
        <v>345</v>
      </c>
      <c r="J30" s="40">
        <f t="shared" si="0"/>
        <v>280</v>
      </c>
      <c r="K30" s="41">
        <v>5</v>
      </c>
      <c r="L30" s="41">
        <v>5</v>
      </c>
      <c r="M30" s="41">
        <v>5</v>
      </c>
      <c r="N30" s="41">
        <v>5</v>
      </c>
      <c r="O30" s="41">
        <v>5</v>
      </c>
      <c r="P30" s="41">
        <v>10</v>
      </c>
      <c r="Q30" s="43">
        <f t="shared" si="1"/>
        <v>35</v>
      </c>
      <c r="R30" s="34" t="s">
        <v>276</v>
      </c>
      <c r="S30" s="41">
        <v>5</v>
      </c>
      <c r="T30" s="41">
        <v>5</v>
      </c>
      <c r="U30" s="41">
        <v>5</v>
      </c>
      <c r="V30" s="41">
        <v>5</v>
      </c>
      <c r="W30" s="41">
        <v>5</v>
      </c>
      <c r="X30" s="36">
        <v>10</v>
      </c>
      <c r="Y30" s="36">
        <f t="shared" si="11"/>
        <v>35</v>
      </c>
      <c r="Z30" s="46" t="s">
        <v>276</v>
      </c>
      <c r="AA30" s="41">
        <v>5</v>
      </c>
      <c r="AB30" s="41">
        <v>5</v>
      </c>
      <c r="AC30" s="41">
        <v>5</v>
      </c>
      <c r="AD30" s="41">
        <v>5</v>
      </c>
      <c r="AE30" s="41">
        <v>5</v>
      </c>
      <c r="AF30" s="34">
        <v>10</v>
      </c>
      <c r="AG30" s="36">
        <f t="shared" si="12"/>
        <v>35</v>
      </c>
      <c r="AH30" s="34" t="s">
        <v>276</v>
      </c>
      <c r="AI30" s="41">
        <v>5</v>
      </c>
      <c r="AJ30" s="41" t="s">
        <v>292</v>
      </c>
      <c r="AK30" s="41">
        <v>5</v>
      </c>
      <c r="AL30" s="41">
        <v>5</v>
      </c>
      <c r="AM30" s="41">
        <v>5</v>
      </c>
      <c r="AN30" s="35"/>
      <c r="AO30" s="48">
        <f t="shared" si="13"/>
        <v>20</v>
      </c>
      <c r="AP30" s="34"/>
      <c r="AQ30" s="51"/>
      <c r="AR30" s="35">
        <f t="shared" si="5"/>
        <v>125</v>
      </c>
      <c r="AS30" s="41">
        <v>5</v>
      </c>
      <c r="AT30" s="41">
        <v>5</v>
      </c>
      <c r="AU30" s="41">
        <v>5</v>
      </c>
      <c r="AV30" s="41">
        <v>5</v>
      </c>
      <c r="AW30" s="41">
        <v>5</v>
      </c>
      <c r="AX30" s="34">
        <v>10</v>
      </c>
      <c r="AY30" s="34">
        <f t="shared" si="6"/>
        <v>35</v>
      </c>
      <c r="AZ30" s="35" t="s">
        <v>276</v>
      </c>
      <c r="BA30" s="41">
        <v>5</v>
      </c>
      <c r="BB30" s="41">
        <v>5</v>
      </c>
      <c r="BC30" s="41">
        <v>5</v>
      </c>
      <c r="BD30" s="41">
        <v>5</v>
      </c>
      <c r="BE30" s="41">
        <v>5</v>
      </c>
      <c r="BF30" s="36">
        <v>10</v>
      </c>
      <c r="BG30" s="36">
        <f t="shared" si="14"/>
        <v>35</v>
      </c>
      <c r="BH30" s="45" t="s">
        <v>276</v>
      </c>
      <c r="BI30" s="41">
        <v>5</v>
      </c>
      <c r="BJ30" s="41">
        <v>5</v>
      </c>
      <c r="BK30" s="41">
        <v>5</v>
      </c>
      <c r="BL30" s="41">
        <v>5</v>
      </c>
      <c r="BM30" s="49">
        <v>5</v>
      </c>
      <c r="BN30" s="36">
        <v>10</v>
      </c>
      <c r="BO30" s="50">
        <f t="shared" si="15"/>
        <v>35</v>
      </c>
      <c r="BP30" s="46" t="s">
        <v>276</v>
      </c>
      <c r="BQ30" s="47">
        <v>5</v>
      </c>
      <c r="BR30" s="47">
        <v>5</v>
      </c>
      <c r="BS30" s="47">
        <v>5</v>
      </c>
      <c r="BT30" s="47">
        <v>5</v>
      </c>
      <c r="BU30" s="47">
        <v>5</v>
      </c>
      <c r="BV30" s="47">
        <v>5</v>
      </c>
      <c r="BW30" s="36">
        <f t="shared" si="16"/>
        <v>30</v>
      </c>
      <c r="BX30" s="36">
        <v>20</v>
      </c>
      <c r="BY30" s="36">
        <f t="shared" si="10"/>
        <v>155</v>
      </c>
      <c r="BZ30" s="46" t="s">
        <v>277</v>
      </c>
      <c r="CA30" s="47">
        <v>5</v>
      </c>
      <c r="CB30" s="47">
        <v>5</v>
      </c>
      <c r="CC30" s="47">
        <v>5</v>
      </c>
      <c r="CD30" s="47">
        <v>5</v>
      </c>
      <c r="CE30" s="36"/>
      <c r="CF30" s="34"/>
      <c r="CG30" s="34"/>
      <c r="CH30" s="35"/>
    </row>
    <row r="31" spans="1:94" ht="26">
      <c r="A31" s="36">
        <v>28</v>
      </c>
      <c r="B31" s="37" t="s">
        <v>350</v>
      </c>
      <c r="C31" s="36">
        <v>3</v>
      </c>
      <c r="E31" s="36" t="s">
        <v>294</v>
      </c>
      <c r="F31" s="36" t="s">
        <v>299</v>
      </c>
      <c r="G31" s="36" t="s">
        <v>351</v>
      </c>
      <c r="H31" s="39" t="s">
        <v>352</v>
      </c>
      <c r="I31" s="40" t="s">
        <v>302</v>
      </c>
      <c r="J31" s="40">
        <f t="shared" si="0"/>
        <v>315</v>
      </c>
      <c r="K31" s="41">
        <v>5</v>
      </c>
      <c r="L31" s="41">
        <v>5</v>
      </c>
      <c r="M31" s="41">
        <v>5</v>
      </c>
      <c r="N31" s="41">
        <v>5</v>
      </c>
      <c r="O31" s="41">
        <v>5</v>
      </c>
      <c r="P31" s="41">
        <v>10</v>
      </c>
      <c r="Q31" s="43">
        <f t="shared" si="1"/>
        <v>35</v>
      </c>
      <c r="R31" s="34" t="s">
        <v>276</v>
      </c>
      <c r="S31" s="41">
        <v>5</v>
      </c>
      <c r="T31" s="41">
        <v>5</v>
      </c>
      <c r="U31" s="41">
        <v>5</v>
      </c>
      <c r="V31" s="41">
        <v>5</v>
      </c>
      <c r="W31" s="41">
        <v>5</v>
      </c>
      <c r="X31" s="36">
        <v>10</v>
      </c>
      <c r="Y31" s="36">
        <f t="shared" si="11"/>
        <v>35</v>
      </c>
      <c r="Z31" s="46" t="s">
        <v>276</v>
      </c>
      <c r="AA31" s="41">
        <v>5</v>
      </c>
      <c r="AB31" s="41">
        <v>5</v>
      </c>
      <c r="AC31" s="41">
        <v>5</v>
      </c>
      <c r="AD31" s="41">
        <v>5</v>
      </c>
      <c r="AE31" s="41">
        <v>5</v>
      </c>
      <c r="AF31" s="34">
        <v>10</v>
      </c>
      <c r="AG31" s="36">
        <f t="shared" si="12"/>
        <v>35</v>
      </c>
      <c r="AH31" s="34" t="s">
        <v>276</v>
      </c>
      <c r="AI31" s="41">
        <v>5</v>
      </c>
      <c r="AJ31" s="41">
        <v>5</v>
      </c>
      <c r="AK31" s="41">
        <v>5</v>
      </c>
      <c r="AL31" s="41">
        <v>5</v>
      </c>
      <c r="AM31" s="41">
        <v>5</v>
      </c>
      <c r="AN31" s="34">
        <v>10</v>
      </c>
      <c r="AO31" s="48">
        <f t="shared" si="13"/>
        <v>35</v>
      </c>
      <c r="AP31" s="34" t="s">
        <v>276</v>
      </c>
      <c r="AQ31" s="34">
        <v>20</v>
      </c>
      <c r="AR31" s="35">
        <f t="shared" si="5"/>
        <v>160</v>
      </c>
      <c r="AS31" s="41">
        <v>5</v>
      </c>
      <c r="AT31" s="41">
        <v>5</v>
      </c>
      <c r="AU31" s="41">
        <v>5</v>
      </c>
      <c r="AV31" s="41">
        <v>5</v>
      </c>
      <c r="AW31" s="41">
        <v>5</v>
      </c>
      <c r="AX31" s="34">
        <v>10</v>
      </c>
      <c r="AY31" s="34">
        <f t="shared" si="6"/>
        <v>35</v>
      </c>
      <c r="AZ31" s="35" t="s">
        <v>276</v>
      </c>
      <c r="BA31" s="41">
        <v>5</v>
      </c>
      <c r="BB31" s="41">
        <v>5</v>
      </c>
      <c r="BC31" s="41">
        <v>5</v>
      </c>
      <c r="BD31" s="41">
        <v>5</v>
      </c>
      <c r="BE31" s="41">
        <v>5</v>
      </c>
      <c r="BF31" s="36">
        <v>10</v>
      </c>
      <c r="BG31" s="36">
        <f t="shared" si="14"/>
        <v>35</v>
      </c>
      <c r="BH31" s="45" t="s">
        <v>276</v>
      </c>
      <c r="BI31" s="41">
        <v>5</v>
      </c>
      <c r="BJ31" s="41">
        <v>5</v>
      </c>
      <c r="BK31" s="41">
        <v>5</v>
      </c>
      <c r="BL31" s="41">
        <v>5</v>
      </c>
      <c r="BM31" s="49">
        <v>5</v>
      </c>
      <c r="BN31" s="36">
        <v>10</v>
      </c>
      <c r="BO31" s="50">
        <f t="shared" si="15"/>
        <v>35</v>
      </c>
      <c r="BP31" s="46" t="s">
        <v>276</v>
      </c>
      <c r="BQ31" s="47">
        <v>5</v>
      </c>
      <c r="BR31" s="47">
        <v>5</v>
      </c>
      <c r="BS31" s="47">
        <v>5</v>
      </c>
      <c r="BT31" s="47">
        <v>5</v>
      </c>
      <c r="BU31" s="47">
        <v>5</v>
      </c>
      <c r="BV31" s="47">
        <v>5</v>
      </c>
      <c r="BW31" s="36">
        <f t="shared" si="16"/>
        <v>30</v>
      </c>
      <c r="BX31" s="36">
        <v>20</v>
      </c>
      <c r="BY31" s="36">
        <f t="shared" si="10"/>
        <v>155</v>
      </c>
      <c r="BZ31" s="46" t="s">
        <v>277</v>
      </c>
      <c r="CA31" s="47">
        <v>5</v>
      </c>
      <c r="CB31" s="47">
        <v>5</v>
      </c>
      <c r="CC31" s="47">
        <v>5</v>
      </c>
      <c r="CD31" s="47">
        <v>5</v>
      </c>
      <c r="CE31" s="36"/>
      <c r="CF31" s="34"/>
      <c r="CG31" s="34"/>
      <c r="CH31" s="35"/>
    </row>
    <row r="32" spans="1:94" ht="13">
      <c r="A32" s="36">
        <v>29</v>
      </c>
      <c r="B32" s="37" t="s">
        <v>353</v>
      </c>
      <c r="C32" s="36">
        <v>3</v>
      </c>
      <c r="E32" s="36" t="s">
        <v>290</v>
      </c>
      <c r="F32" s="36" t="s">
        <v>299</v>
      </c>
      <c r="G32" s="36" t="s">
        <v>351</v>
      </c>
      <c r="H32" s="39" t="s">
        <v>354</v>
      </c>
      <c r="I32" s="40" t="s">
        <v>302</v>
      </c>
      <c r="J32" s="40">
        <f t="shared" si="0"/>
        <v>315</v>
      </c>
      <c r="K32" s="41">
        <v>5</v>
      </c>
      <c r="L32" s="41">
        <v>5</v>
      </c>
      <c r="M32" s="41">
        <v>5</v>
      </c>
      <c r="N32" s="41">
        <v>5</v>
      </c>
      <c r="O32" s="41">
        <v>5</v>
      </c>
      <c r="P32" s="41">
        <v>10</v>
      </c>
      <c r="Q32" s="43">
        <f t="shared" si="1"/>
        <v>35</v>
      </c>
      <c r="R32" s="34" t="s">
        <v>276</v>
      </c>
      <c r="S32" s="41">
        <v>5</v>
      </c>
      <c r="T32" s="41">
        <v>5</v>
      </c>
      <c r="U32" s="41">
        <v>5</v>
      </c>
      <c r="V32" s="41">
        <v>5</v>
      </c>
      <c r="W32" s="41">
        <v>5</v>
      </c>
      <c r="X32" s="36">
        <v>10</v>
      </c>
      <c r="Y32" s="36">
        <f t="shared" si="11"/>
        <v>35</v>
      </c>
      <c r="Z32" s="46" t="s">
        <v>276</v>
      </c>
      <c r="AA32" s="41">
        <v>5</v>
      </c>
      <c r="AB32" s="41">
        <v>5</v>
      </c>
      <c r="AC32" s="41">
        <v>5</v>
      </c>
      <c r="AD32" s="41">
        <v>5</v>
      </c>
      <c r="AE32" s="41">
        <v>5</v>
      </c>
      <c r="AF32" s="34">
        <v>10</v>
      </c>
      <c r="AG32" s="36">
        <f t="shared" si="12"/>
        <v>35</v>
      </c>
      <c r="AH32" s="34" t="s">
        <v>276</v>
      </c>
      <c r="AI32" s="41">
        <v>5</v>
      </c>
      <c r="AJ32" s="41">
        <v>5</v>
      </c>
      <c r="AK32" s="41">
        <v>5</v>
      </c>
      <c r="AL32" s="41">
        <v>5</v>
      </c>
      <c r="AM32" s="41">
        <v>5</v>
      </c>
      <c r="AN32" s="34">
        <v>10</v>
      </c>
      <c r="AO32" s="48">
        <f t="shared" si="13"/>
        <v>35</v>
      </c>
      <c r="AP32" s="34" t="s">
        <v>276</v>
      </c>
      <c r="AQ32" s="34">
        <v>20</v>
      </c>
      <c r="AR32" s="35">
        <f t="shared" si="5"/>
        <v>160</v>
      </c>
      <c r="AS32" s="41">
        <v>5</v>
      </c>
      <c r="AT32" s="41">
        <v>5</v>
      </c>
      <c r="AU32" s="41">
        <v>5</v>
      </c>
      <c r="AV32" s="41">
        <v>5</v>
      </c>
      <c r="AW32" s="41">
        <v>5</v>
      </c>
      <c r="AX32" s="34">
        <v>10</v>
      </c>
      <c r="AY32" s="34">
        <f t="shared" si="6"/>
        <v>35</v>
      </c>
      <c r="AZ32" s="35" t="s">
        <v>276</v>
      </c>
      <c r="BA32" s="41">
        <v>5</v>
      </c>
      <c r="BB32" s="41">
        <v>5</v>
      </c>
      <c r="BC32" s="41">
        <v>5</v>
      </c>
      <c r="BD32" s="41">
        <v>5</v>
      </c>
      <c r="BE32" s="41">
        <v>5</v>
      </c>
      <c r="BF32" s="36">
        <v>10</v>
      </c>
      <c r="BG32" s="36">
        <f t="shared" si="14"/>
        <v>35</v>
      </c>
      <c r="BH32" s="45" t="s">
        <v>276</v>
      </c>
      <c r="BI32" s="41">
        <v>5</v>
      </c>
      <c r="BJ32" s="41">
        <v>5</v>
      </c>
      <c r="BK32" s="41">
        <v>5</v>
      </c>
      <c r="BL32" s="41">
        <v>5</v>
      </c>
      <c r="BM32" s="49">
        <v>5</v>
      </c>
      <c r="BN32" s="36">
        <v>10</v>
      </c>
      <c r="BO32" s="50">
        <f t="shared" si="15"/>
        <v>35</v>
      </c>
      <c r="BP32" s="46" t="s">
        <v>276</v>
      </c>
      <c r="BQ32" s="47">
        <v>5</v>
      </c>
      <c r="BR32" s="47">
        <v>5</v>
      </c>
      <c r="BS32" s="47">
        <v>5</v>
      </c>
      <c r="BT32" s="47">
        <v>5</v>
      </c>
      <c r="BU32" s="47">
        <v>5</v>
      </c>
      <c r="BV32" s="47">
        <v>5</v>
      </c>
      <c r="BW32" s="36">
        <f t="shared" si="16"/>
        <v>30</v>
      </c>
      <c r="BX32" s="36">
        <v>20</v>
      </c>
      <c r="BY32" s="36">
        <f t="shared" si="10"/>
        <v>155</v>
      </c>
      <c r="BZ32" s="46" t="s">
        <v>277</v>
      </c>
      <c r="CA32" s="47">
        <v>5</v>
      </c>
      <c r="CB32" s="47">
        <v>5</v>
      </c>
      <c r="CC32" s="47">
        <v>5</v>
      </c>
      <c r="CD32" s="47">
        <v>5</v>
      </c>
      <c r="CE32" s="47">
        <v>5</v>
      </c>
      <c r="CF32" s="34"/>
      <c r="CG32" s="34"/>
      <c r="CH32" s="35"/>
    </row>
    <row r="33" spans="1:94" ht="13">
      <c r="A33" s="36">
        <v>30</v>
      </c>
      <c r="B33" s="37" t="s">
        <v>355</v>
      </c>
      <c r="C33" s="36">
        <v>3</v>
      </c>
      <c r="E33" s="36" t="s">
        <v>294</v>
      </c>
      <c r="F33" s="36" t="s">
        <v>299</v>
      </c>
      <c r="G33" s="36" t="s">
        <v>351</v>
      </c>
      <c r="H33" s="39" t="s">
        <v>356</v>
      </c>
      <c r="I33" s="40" t="s">
        <v>345</v>
      </c>
      <c r="J33" s="40">
        <f t="shared" si="0"/>
        <v>315</v>
      </c>
      <c r="K33" s="41">
        <v>5</v>
      </c>
      <c r="L33" s="41">
        <v>5</v>
      </c>
      <c r="M33" s="41">
        <v>5</v>
      </c>
      <c r="N33" s="41">
        <v>5</v>
      </c>
      <c r="O33" s="41">
        <v>5</v>
      </c>
      <c r="P33" s="41">
        <v>10</v>
      </c>
      <c r="Q33" s="43">
        <f t="shared" si="1"/>
        <v>35</v>
      </c>
      <c r="R33" s="34" t="s">
        <v>276</v>
      </c>
      <c r="S33" s="41">
        <v>5</v>
      </c>
      <c r="T33" s="41">
        <v>5</v>
      </c>
      <c r="U33" s="41">
        <v>5</v>
      </c>
      <c r="V33" s="41">
        <v>5</v>
      </c>
      <c r="W33" s="41">
        <v>5</v>
      </c>
      <c r="X33" s="36">
        <v>10</v>
      </c>
      <c r="Y33" s="36">
        <f t="shared" si="11"/>
        <v>35</v>
      </c>
      <c r="Z33" s="46" t="s">
        <v>276</v>
      </c>
      <c r="AA33" s="41">
        <v>5</v>
      </c>
      <c r="AB33" s="41">
        <v>5</v>
      </c>
      <c r="AC33" s="41">
        <v>5</v>
      </c>
      <c r="AD33" s="41">
        <v>5</v>
      </c>
      <c r="AE33" s="41">
        <v>5</v>
      </c>
      <c r="AF33" s="34">
        <v>10</v>
      </c>
      <c r="AG33" s="36">
        <f t="shared" si="12"/>
        <v>35</v>
      </c>
      <c r="AH33" s="34" t="s">
        <v>276</v>
      </c>
      <c r="AI33" s="41">
        <v>5</v>
      </c>
      <c r="AJ33" s="41">
        <v>5</v>
      </c>
      <c r="AK33" s="41">
        <v>5</v>
      </c>
      <c r="AL33" s="41">
        <v>5</v>
      </c>
      <c r="AM33" s="41">
        <v>5</v>
      </c>
      <c r="AN33" s="34">
        <v>10</v>
      </c>
      <c r="AO33" s="48">
        <f t="shared" si="13"/>
        <v>35</v>
      </c>
      <c r="AP33" s="34" t="s">
        <v>276</v>
      </c>
      <c r="AQ33" s="34">
        <v>20</v>
      </c>
      <c r="AR33" s="35">
        <f t="shared" si="5"/>
        <v>160</v>
      </c>
      <c r="AS33" s="41">
        <v>5</v>
      </c>
      <c r="AT33" s="41">
        <v>5</v>
      </c>
      <c r="AU33" s="41">
        <v>5</v>
      </c>
      <c r="AV33" s="41">
        <v>5</v>
      </c>
      <c r="AW33" s="41">
        <v>5</v>
      </c>
      <c r="AX33" s="34">
        <v>10</v>
      </c>
      <c r="AY33" s="34">
        <f t="shared" si="6"/>
        <v>35</v>
      </c>
      <c r="AZ33" s="35" t="s">
        <v>276</v>
      </c>
      <c r="BA33" s="41">
        <v>5</v>
      </c>
      <c r="BB33" s="41">
        <v>5</v>
      </c>
      <c r="BC33" s="41">
        <v>5</v>
      </c>
      <c r="BD33" s="41">
        <v>5</v>
      </c>
      <c r="BE33" s="41">
        <v>5</v>
      </c>
      <c r="BF33" s="36">
        <v>10</v>
      </c>
      <c r="BG33" s="36">
        <f t="shared" si="14"/>
        <v>35</v>
      </c>
      <c r="BH33" s="45" t="s">
        <v>276</v>
      </c>
      <c r="BI33" s="41">
        <v>5</v>
      </c>
      <c r="BJ33" s="41">
        <v>5</v>
      </c>
      <c r="BK33" s="41">
        <v>5</v>
      </c>
      <c r="BL33" s="41">
        <v>5</v>
      </c>
      <c r="BM33" s="49">
        <v>5</v>
      </c>
      <c r="BN33" s="36">
        <v>10</v>
      </c>
      <c r="BO33" s="50">
        <f t="shared" si="15"/>
        <v>35</v>
      </c>
      <c r="BP33" s="46" t="s">
        <v>276</v>
      </c>
      <c r="BQ33" s="47">
        <v>5</v>
      </c>
      <c r="BR33" s="47">
        <v>5</v>
      </c>
      <c r="BS33" s="47">
        <v>5</v>
      </c>
      <c r="BT33" s="47">
        <v>5</v>
      </c>
      <c r="BU33" s="47">
        <v>5</v>
      </c>
      <c r="BV33" s="47">
        <v>5</v>
      </c>
      <c r="BW33" s="36">
        <f t="shared" si="16"/>
        <v>30</v>
      </c>
      <c r="BX33" s="36">
        <v>20</v>
      </c>
      <c r="BY33" s="36">
        <f t="shared" si="10"/>
        <v>155</v>
      </c>
      <c r="BZ33" s="46" t="s">
        <v>277</v>
      </c>
      <c r="CA33" s="47">
        <v>5</v>
      </c>
      <c r="CB33" s="47">
        <v>5</v>
      </c>
      <c r="CC33" s="47">
        <v>5</v>
      </c>
      <c r="CD33" s="47">
        <v>5</v>
      </c>
      <c r="CE33" s="47">
        <v>5</v>
      </c>
      <c r="CF33" s="34"/>
      <c r="CG33" s="34"/>
      <c r="CH33" s="35"/>
    </row>
    <row r="34" spans="1:94" ht="13">
      <c r="A34" s="36">
        <v>31</v>
      </c>
      <c r="B34" s="37" t="s">
        <v>357</v>
      </c>
      <c r="C34" s="36">
        <v>3</v>
      </c>
      <c r="F34" s="36" t="s">
        <v>299</v>
      </c>
      <c r="G34" s="36" t="s">
        <v>351</v>
      </c>
      <c r="H34" s="39" t="s">
        <v>356</v>
      </c>
      <c r="I34" s="40" t="s">
        <v>295</v>
      </c>
      <c r="J34" s="40">
        <f t="shared" si="0"/>
        <v>190</v>
      </c>
      <c r="K34" s="41">
        <v>5</v>
      </c>
      <c r="L34" s="41" t="s">
        <v>292</v>
      </c>
      <c r="M34" s="41" t="s">
        <v>292</v>
      </c>
      <c r="N34" s="41">
        <v>5</v>
      </c>
      <c r="O34" s="41">
        <v>5</v>
      </c>
      <c r="P34" s="41"/>
      <c r="Q34" s="43">
        <f t="shared" si="1"/>
        <v>15</v>
      </c>
      <c r="R34" s="34"/>
      <c r="S34" s="41">
        <v>5</v>
      </c>
      <c r="T34" s="41">
        <v>5</v>
      </c>
      <c r="U34" s="41">
        <v>5</v>
      </c>
      <c r="V34" s="41" t="s">
        <v>292</v>
      </c>
      <c r="W34" s="41">
        <v>5</v>
      </c>
      <c r="X34" s="34"/>
      <c r="Y34" s="36">
        <f t="shared" si="11"/>
        <v>20</v>
      </c>
      <c r="Z34" s="34"/>
      <c r="AA34" s="41">
        <v>5</v>
      </c>
      <c r="AB34" s="41">
        <v>5</v>
      </c>
      <c r="AC34" s="41" t="s">
        <v>292</v>
      </c>
      <c r="AD34" s="41">
        <v>5</v>
      </c>
      <c r="AE34" s="41">
        <v>5</v>
      </c>
      <c r="AF34" s="34"/>
      <c r="AG34" s="36">
        <f t="shared" si="12"/>
        <v>20</v>
      </c>
      <c r="AH34" s="34"/>
      <c r="AI34" s="41">
        <v>5</v>
      </c>
      <c r="AJ34" s="41">
        <v>5</v>
      </c>
      <c r="AK34" s="41" t="s">
        <v>292</v>
      </c>
      <c r="AL34" s="41">
        <v>5</v>
      </c>
      <c r="AM34" s="41" t="s">
        <v>292</v>
      </c>
      <c r="AN34" s="35"/>
      <c r="AO34" s="48">
        <f t="shared" si="13"/>
        <v>15</v>
      </c>
      <c r="AP34" s="34"/>
      <c r="AQ34" s="51"/>
      <c r="AR34" s="35">
        <f t="shared" si="5"/>
        <v>70</v>
      </c>
      <c r="AS34" s="41">
        <v>5</v>
      </c>
      <c r="AT34" s="41">
        <v>5</v>
      </c>
      <c r="AU34" s="41">
        <v>5</v>
      </c>
      <c r="AV34" s="41">
        <v>5</v>
      </c>
      <c r="AW34" s="41">
        <v>5</v>
      </c>
      <c r="AX34" s="34">
        <v>10</v>
      </c>
      <c r="AY34" s="34">
        <f t="shared" si="6"/>
        <v>35</v>
      </c>
      <c r="AZ34" s="35" t="s">
        <v>276</v>
      </c>
      <c r="BA34" s="41">
        <v>5</v>
      </c>
      <c r="BB34" s="41">
        <v>5</v>
      </c>
      <c r="BC34" s="41">
        <v>5</v>
      </c>
      <c r="BD34" s="41">
        <v>5</v>
      </c>
      <c r="BE34" s="41">
        <v>5</v>
      </c>
      <c r="BF34" s="36">
        <v>10</v>
      </c>
      <c r="BG34" s="36">
        <f t="shared" si="14"/>
        <v>35</v>
      </c>
      <c r="BH34" s="45" t="s">
        <v>276</v>
      </c>
      <c r="BI34" s="41">
        <v>5</v>
      </c>
      <c r="BJ34" s="41" t="s">
        <v>292</v>
      </c>
      <c r="BK34" s="41">
        <v>5</v>
      </c>
      <c r="BL34" s="41">
        <v>5</v>
      </c>
      <c r="BM34" s="41">
        <v>5</v>
      </c>
      <c r="BN34" s="34"/>
      <c r="BO34" s="36">
        <f t="shared" si="15"/>
        <v>20</v>
      </c>
      <c r="BP34" s="34"/>
      <c r="BQ34" s="47">
        <v>5</v>
      </c>
      <c r="BR34" s="47">
        <v>5</v>
      </c>
      <c r="BS34" s="47">
        <v>5</v>
      </c>
      <c r="BT34" s="47">
        <v>5</v>
      </c>
      <c r="BU34" s="47">
        <v>5</v>
      </c>
      <c r="BV34" s="47">
        <v>5</v>
      </c>
      <c r="BW34" s="36">
        <f t="shared" si="16"/>
        <v>30</v>
      </c>
      <c r="BX34" s="36"/>
      <c r="BY34" s="36">
        <f>AY34+BG34+BO34+BW34</f>
        <v>120</v>
      </c>
      <c r="BZ34" s="35"/>
      <c r="CA34" s="47">
        <v>5</v>
      </c>
      <c r="CB34" s="47">
        <v>5</v>
      </c>
      <c r="CC34" s="47">
        <v>5</v>
      </c>
      <c r="CD34" s="47">
        <v>5</v>
      </c>
      <c r="CE34" s="36"/>
      <c r="CF34" s="34"/>
      <c r="CG34" s="34"/>
      <c r="CH34" s="35"/>
    </row>
    <row r="35" spans="1:94" ht="13">
      <c r="A35" s="36">
        <v>32</v>
      </c>
      <c r="B35" s="37" t="s">
        <v>358</v>
      </c>
      <c r="C35" s="36">
        <v>3</v>
      </c>
      <c r="E35" s="36" t="s">
        <v>294</v>
      </c>
      <c r="F35" s="36" t="s">
        <v>299</v>
      </c>
      <c r="G35" s="36" t="s">
        <v>359</v>
      </c>
      <c r="H35" s="39" t="s">
        <v>360</v>
      </c>
      <c r="I35" s="40" t="s">
        <v>302</v>
      </c>
      <c r="J35" s="40">
        <f t="shared" si="0"/>
        <v>315</v>
      </c>
      <c r="K35" s="41">
        <v>5</v>
      </c>
      <c r="L35" s="41">
        <v>5</v>
      </c>
      <c r="M35" s="41">
        <v>5</v>
      </c>
      <c r="N35" s="41">
        <v>5</v>
      </c>
      <c r="O35" s="41">
        <v>5</v>
      </c>
      <c r="P35" s="41">
        <v>10</v>
      </c>
      <c r="Q35" s="43">
        <f t="shared" si="1"/>
        <v>35</v>
      </c>
      <c r="R35" s="34" t="s">
        <v>276</v>
      </c>
      <c r="S35" s="41">
        <v>5</v>
      </c>
      <c r="T35" s="41">
        <v>5</v>
      </c>
      <c r="U35" s="41">
        <v>5</v>
      </c>
      <c r="V35" s="41">
        <v>5</v>
      </c>
      <c r="W35" s="41">
        <v>5</v>
      </c>
      <c r="X35" s="36">
        <v>10</v>
      </c>
      <c r="Y35" s="36">
        <f t="shared" si="11"/>
        <v>35</v>
      </c>
      <c r="Z35" s="46" t="s">
        <v>276</v>
      </c>
      <c r="AA35" s="41">
        <v>5</v>
      </c>
      <c r="AB35" s="41">
        <v>5</v>
      </c>
      <c r="AC35" s="41">
        <v>5</v>
      </c>
      <c r="AD35" s="41">
        <v>5</v>
      </c>
      <c r="AE35" s="41">
        <v>5</v>
      </c>
      <c r="AF35" s="34">
        <v>10</v>
      </c>
      <c r="AG35" s="36">
        <f t="shared" si="12"/>
        <v>35</v>
      </c>
      <c r="AH35" s="34" t="s">
        <v>276</v>
      </c>
      <c r="AI35" s="41">
        <v>5</v>
      </c>
      <c r="AJ35" s="41">
        <v>5</v>
      </c>
      <c r="AK35" s="41">
        <v>5</v>
      </c>
      <c r="AL35" s="41">
        <v>5</v>
      </c>
      <c r="AM35" s="41">
        <v>5</v>
      </c>
      <c r="AN35" s="34">
        <v>10</v>
      </c>
      <c r="AO35" s="48">
        <f t="shared" si="13"/>
        <v>35</v>
      </c>
      <c r="AP35" s="34" t="s">
        <v>276</v>
      </c>
      <c r="AQ35" s="34">
        <v>20</v>
      </c>
      <c r="AR35" s="35">
        <f t="shared" si="5"/>
        <v>160</v>
      </c>
      <c r="AS35" s="41">
        <v>5</v>
      </c>
      <c r="AT35" s="41">
        <v>5</v>
      </c>
      <c r="AU35" s="41">
        <v>5</v>
      </c>
      <c r="AV35" s="41">
        <v>5</v>
      </c>
      <c r="AW35" s="41">
        <v>5</v>
      </c>
      <c r="AX35" s="34">
        <v>10</v>
      </c>
      <c r="AY35" s="34">
        <f t="shared" si="6"/>
        <v>35</v>
      </c>
      <c r="AZ35" s="35" t="s">
        <v>276</v>
      </c>
      <c r="BA35" s="41">
        <v>5</v>
      </c>
      <c r="BB35" s="41">
        <v>5</v>
      </c>
      <c r="BC35" s="41">
        <v>5</v>
      </c>
      <c r="BD35" s="41">
        <v>5</v>
      </c>
      <c r="BE35" s="41">
        <v>5</v>
      </c>
      <c r="BF35" s="36">
        <v>10</v>
      </c>
      <c r="BG35" s="36">
        <f t="shared" si="14"/>
        <v>35</v>
      </c>
      <c r="BH35" s="45" t="s">
        <v>276</v>
      </c>
      <c r="BI35" s="41">
        <v>5</v>
      </c>
      <c r="BJ35" s="41">
        <v>5</v>
      </c>
      <c r="BK35" s="41">
        <v>5</v>
      </c>
      <c r="BL35" s="41">
        <v>5</v>
      </c>
      <c r="BM35" s="41">
        <v>5</v>
      </c>
      <c r="BN35" s="36">
        <v>10</v>
      </c>
      <c r="BO35" s="36">
        <f t="shared" si="15"/>
        <v>35</v>
      </c>
      <c r="BP35" s="46" t="s">
        <v>276</v>
      </c>
      <c r="BQ35" s="47">
        <v>5</v>
      </c>
      <c r="BR35" s="47">
        <v>5</v>
      </c>
      <c r="BS35" s="47">
        <v>5</v>
      </c>
      <c r="BT35" s="47">
        <v>5</v>
      </c>
      <c r="BU35" s="47">
        <v>5</v>
      </c>
      <c r="BV35" s="47">
        <v>5</v>
      </c>
      <c r="BW35" s="36">
        <f t="shared" si="16"/>
        <v>30</v>
      </c>
      <c r="BX35" s="36">
        <v>20</v>
      </c>
      <c r="BY35" s="36">
        <f>AY35+BG35+BO35+BW35+BX35</f>
        <v>155</v>
      </c>
      <c r="BZ35" s="46" t="s">
        <v>277</v>
      </c>
      <c r="CA35" s="47">
        <v>5</v>
      </c>
      <c r="CB35" s="47">
        <v>5</v>
      </c>
      <c r="CC35" s="47">
        <v>5</v>
      </c>
      <c r="CD35" s="47">
        <v>5</v>
      </c>
      <c r="CE35" s="47">
        <v>5</v>
      </c>
      <c r="CF35" s="34"/>
      <c r="CG35" s="34"/>
      <c r="CH35" s="35"/>
    </row>
    <row r="36" spans="1:94" ht="13" hidden="1">
      <c r="A36" s="57">
        <v>33</v>
      </c>
      <c r="B36" s="57" t="s">
        <v>361</v>
      </c>
      <c r="C36" s="57">
        <v>3</v>
      </c>
      <c r="D36" s="57"/>
      <c r="E36" s="57" t="s">
        <v>362</v>
      </c>
      <c r="F36" s="57" t="s">
        <v>299</v>
      </c>
      <c r="G36" s="57" t="s">
        <v>343</v>
      </c>
      <c r="H36" s="58" t="s">
        <v>344</v>
      </c>
      <c r="I36" s="59" t="s">
        <v>302</v>
      </c>
      <c r="J36" s="60">
        <f t="shared" ref="J36:J67" si="17">AR36+BY36</f>
        <v>20</v>
      </c>
      <c r="K36" s="59"/>
      <c r="L36" s="61"/>
      <c r="M36" s="61"/>
      <c r="N36" s="61"/>
      <c r="O36" s="61"/>
      <c r="P36" s="61"/>
      <c r="Q36" s="43">
        <f t="shared" ref="Q36:Q67" si="18">SUM(K36:P36)</f>
        <v>0</v>
      </c>
      <c r="R36" s="62"/>
      <c r="S36" s="68"/>
      <c r="T36" s="62"/>
      <c r="U36" s="62"/>
      <c r="V36" s="62"/>
      <c r="W36" s="62"/>
      <c r="X36" s="62"/>
      <c r="Y36" s="62"/>
      <c r="Z36" s="62"/>
      <c r="AA36" s="62"/>
      <c r="AB36" s="62"/>
      <c r="AC36" s="62"/>
      <c r="AD36" s="62"/>
      <c r="AE36" s="62"/>
      <c r="AF36" s="62"/>
      <c r="AG36" s="62"/>
      <c r="AH36" s="62"/>
      <c r="AI36" s="57"/>
      <c r="AJ36" s="57"/>
      <c r="AK36" s="57"/>
      <c r="AL36" s="57"/>
      <c r="AM36" s="62"/>
      <c r="AN36" s="62"/>
      <c r="AO36" s="63"/>
      <c r="AP36" s="63"/>
      <c r="AQ36" s="63"/>
      <c r="AR36" s="69">
        <f t="shared" ref="AR36:AR67" si="19">Q36+Y36+AG36+AO36+AQ36</f>
        <v>0</v>
      </c>
      <c r="AS36" s="57"/>
      <c r="AT36" s="57"/>
      <c r="AU36" s="57"/>
      <c r="AV36" s="62"/>
      <c r="AW36" s="62"/>
      <c r="AX36" s="62"/>
      <c r="AY36" s="70">
        <f t="shared" ref="AY36:AY67" si="20">SUM(AS36:AX36)</f>
        <v>0</v>
      </c>
      <c r="AZ36" s="64"/>
      <c r="BA36" s="57"/>
      <c r="BB36" s="57"/>
      <c r="BC36" s="57"/>
      <c r="BD36" s="57"/>
      <c r="BE36" s="57"/>
      <c r="BF36" s="62"/>
      <c r="BG36" s="62"/>
      <c r="BH36" s="64"/>
      <c r="BI36" s="57"/>
      <c r="BJ36" s="57"/>
      <c r="BK36" s="57"/>
      <c r="BL36" s="57"/>
      <c r="BM36" s="57"/>
      <c r="BN36" s="62"/>
      <c r="BO36" s="57"/>
      <c r="BP36" s="62"/>
      <c r="BQ36" s="57"/>
      <c r="BR36" s="57"/>
      <c r="BS36" s="57"/>
      <c r="BT36" s="57"/>
      <c r="BU36" s="57"/>
      <c r="BV36" s="65">
        <v>5</v>
      </c>
      <c r="BW36" s="62"/>
      <c r="BX36" s="66">
        <v>20</v>
      </c>
      <c r="BY36" s="66">
        <f>AY36+BG36+BO36+BW36+BX36</f>
        <v>20</v>
      </c>
      <c r="BZ36" s="67" t="s">
        <v>277</v>
      </c>
      <c r="CA36" s="57"/>
      <c r="CB36" s="57"/>
      <c r="CC36" s="57"/>
      <c r="CD36" s="57"/>
      <c r="CE36" s="57"/>
      <c r="CF36" s="62"/>
      <c r="CG36" s="62"/>
      <c r="CH36" s="64"/>
      <c r="CI36" s="62"/>
      <c r="CJ36" s="62"/>
      <c r="CK36" s="62"/>
      <c r="CL36" s="62"/>
      <c r="CM36" s="62"/>
      <c r="CN36" s="62"/>
      <c r="CO36" s="62"/>
      <c r="CP36" s="62"/>
    </row>
    <row r="37" spans="1:94" ht="13">
      <c r="A37" s="36">
        <v>34</v>
      </c>
      <c r="B37" s="71" t="s">
        <v>363</v>
      </c>
      <c r="C37" s="36">
        <v>4</v>
      </c>
      <c r="D37" s="38" t="s">
        <v>270</v>
      </c>
      <c r="E37" s="36" t="s">
        <v>271</v>
      </c>
      <c r="F37" s="36" t="s">
        <v>272</v>
      </c>
      <c r="G37" s="36" t="s">
        <v>273</v>
      </c>
      <c r="H37" s="39" t="s">
        <v>364</v>
      </c>
      <c r="I37" s="40" t="s">
        <v>302</v>
      </c>
      <c r="J37" s="40">
        <f t="shared" si="17"/>
        <v>315</v>
      </c>
      <c r="K37" s="41">
        <v>5</v>
      </c>
      <c r="L37" s="41">
        <v>5</v>
      </c>
      <c r="M37" s="41">
        <v>5</v>
      </c>
      <c r="N37" s="41">
        <v>5</v>
      </c>
      <c r="O37" s="41">
        <v>5</v>
      </c>
      <c r="P37" s="41">
        <v>10</v>
      </c>
      <c r="Q37" s="43">
        <f t="shared" si="18"/>
        <v>35</v>
      </c>
      <c r="R37" s="34" t="s">
        <v>276</v>
      </c>
      <c r="S37" s="41">
        <v>5</v>
      </c>
      <c r="T37" s="41">
        <v>5</v>
      </c>
      <c r="U37" s="41">
        <v>5</v>
      </c>
      <c r="V37" s="41">
        <v>5</v>
      </c>
      <c r="W37" s="41">
        <v>5</v>
      </c>
      <c r="X37" s="36">
        <v>10</v>
      </c>
      <c r="Y37" s="36">
        <f t="shared" ref="Y37:Y68" si="21">SUM(S37:X37)</f>
        <v>35</v>
      </c>
      <c r="Z37" s="46" t="s">
        <v>276</v>
      </c>
      <c r="AA37" s="41">
        <v>5</v>
      </c>
      <c r="AB37" s="41">
        <v>5</v>
      </c>
      <c r="AC37" s="56">
        <v>5</v>
      </c>
      <c r="AD37" s="41">
        <v>5</v>
      </c>
      <c r="AE37" s="41">
        <v>5</v>
      </c>
      <c r="AF37" s="34">
        <v>10</v>
      </c>
      <c r="AG37" s="36">
        <f t="shared" ref="AG37:AG68" si="22">SUM(AA37:AF37)</f>
        <v>35</v>
      </c>
      <c r="AH37" s="34" t="s">
        <v>276</v>
      </c>
      <c r="AI37" s="41">
        <v>5</v>
      </c>
      <c r="AJ37" s="41">
        <v>5</v>
      </c>
      <c r="AK37" s="41">
        <v>5</v>
      </c>
      <c r="AL37" s="41">
        <v>5</v>
      </c>
      <c r="AM37" s="41">
        <v>5</v>
      </c>
      <c r="AN37" s="34">
        <v>10</v>
      </c>
      <c r="AO37" s="48">
        <f t="shared" ref="AO37:AO68" si="23">SUM(AI37:AN37)</f>
        <v>35</v>
      </c>
      <c r="AP37" s="34" t="s">
        <v>276</v>
      </c>
      <c r="AQ37" s="34">
        <v>20</v>
      </c>
      <c r="AR37" s="35">
        <f t="shared" si="19"/>
        <v>160</v>
      </c>
      <c r="AS37" s="41">
        <v>5</v>
      </c>
      <c r="AT37" s="41">
        <v>5</v>
      </c>
      <c r="AU37" s="41">
        <v>5</v>
      </c>
      <c r="AV37" s="41">
        <v>5</v>
      </c>
      <c r="AW37" s="41">
        <v>5</v>
      </c>
      <c r="AX37" s="34">
        <v>10</v>
      </c>
      <c r="AY37" s="34">
        <f t="shared" si="20"/>
        <v>35</v>
      </c>
      <c r="AZ37" s="34" t="s">
        <v>276</v>
      </c>
      <c r="BA37" s="41">
        <v>5</v>
      </c>
      <c r="BB37" s="41">
        <v>5</v>
      </c>
      <c r="BC37" s="41">
        <v>5</v>
      </c>
      <c r="BD37" s="41">
        <v>5</v>
      </c>
      <c r="BE37" s="41">
        <v>5</v>
      </c>
      <c r="BF37" s="36">
        <v>10</v>
      </c>
      <c r="BG37" s="36">
        <f t="shared" ref="BG37:BG68" si="24">SUM(BA37:BF37)</f>
        <v>35</v>
      </c>
      <c r="BH37" s="45" t="s">
        <v>276</v>
      </c>
      <c r="BI37" s="41">
        <v>5</v>
      </c>
      <c r="BJ37" s="36">
        <v>5</v>
      </c>
      <c r="BK37" s="41">
        <v>5</v>
      </c>
      <c r="BL37" s="41">
        <v>5</v>
      </c>
      <c r="BM37" s="49">
        <v>5</v>
      </c>
      <c r="BN37" s="36">
        <v>10</v>
      </c>
      <c r="BO37" s="50">
        <f t="shared" ref="BO37:BO68" si="25">SUM(BI37:BN37)</f>
        <v>35</v>
      </c>
      <c r="BP37" s="46" t="s">
        <v>276</v>
      </c>
      <c r="BQ37" s="47">
        <v>5</v>
      </c>
      <c r="BR37" s="54">
        <v>5</v>
      </c>
      <c r="BS37" s="47">
        <v>5</v>
      </c>
      <c r="BT37" s="47">
        <v>5</v>
      </c>
      <c r="BU37" s="47">
        <v>5</v>
      </c>
      <c r="BV37" s="47">
        <v>5</v>
      </c>
      <c r="BW37" s="36">
        <f t="shared" ref="BW37:BW68" si="26">SUM(BQ37:BV37)</f>
        <v>30</v>
      </c>
      <c r="BX37" s="36">
        <v>20</v>
      </c>
      <c r="BY37" s="36">
        <f>AY37+BG37+BO37+BW37+BX37</f>
        <v>155</v>
      </c>
      <c r="BZ37" s="46" t="s">
        <v>277</v>
      </c>
      <c r="CA37" s="47">
        <v>5</v>
      </c>
      <c r="CB37" s="47">
        <v>5</v>
      </c>
      <c r="CC37" s="47">
        <v>5</v>
      </c>
      <c r="CD37" s="47">
        <v>5</v>
      </c>
      <c r="CE37" s="36"/>
      <c r="CF37" s="34"/>
      <c r="CG37" s="34"/>
      <c r="CH37" s="35"/>
    </row>
    <row r="38" spans="1:94" ht="13">
      <c r="A38" s="36">
        <v>35</v>
      </c>
      <c r="B38" s="71" t="s">
        <v>365</v>
      </c>
      <c r="C38" s="36">
        <v>4</v>
      </c>
      <c r="E38" s="36" t="s">
        <v>294</v>
      </c>
      <c r="F38" s="36" t="s">
        <v>366</v>
      </c>
      <c r="G38" s="36" t="s">
        <v>367</v>
      </c>
      <c r="H38" s="39" t="s">
        <v>368</v>
      </c>
      <c r="I38" s="40" t="s">
        <v>302</v>
      </c>
      <c r="J38" s="40">
        <f t="shared" si="17"/>
        <v>315</v>
      </c>
      <c r="K38" s="41">
        <v>5</v>
      </c>
      <c r="L38" s="41">
        <v>5</v>
      </c>
      <c r="M38" s="41">
        <v>5</v>
      </c>
      <c r="N38" s="41">
        <v>5</v>
      </c>
      <c r="O38" s="41">
        <v>5</v>
      </c>
      <c r="P38" s="41">
        <v>10</v>
      </c>
      <c r="Q38" s="43">
        <f t="shared" si="18"/>
        <v>35</v>
      </c>
      <c r="R38" s="34" t="s">
        <v>276</v>
      </c>
      <c r="S38" s="41">
        <v>5</v>
      </c>
      <c r="T38" s="41">
        <v>5</v>
      </c>
      <c r="U38" s="41">
        <v>5</v>
      </c>
      <c r="V38" s="41">
        <v>5</v>
      </c>
      <c r="W38" s="41">
        <v>5</v>
      </c>
      <c r="X38" s="36">
        <v>10</v>
      </c>
      <c r="Y38" s="36">
        <f t="shared" si="21"/>
        <v>35</v>
      </c>
      <c r="Z38" s="46" t="s">
        <v>276</v>
      </c>
      <c r="AA38" s="41">
        <v>5</v>
      </c>
      <c r="AB38" s="41">
        <v>5</v>
      </c>
      <c r="AC38" s="41">
        <v>5</v>
      </c>
      <c r="AD38" s="41">
        <v>5</v>
      </c>
      <c r="AE38" s="41">
        <v>5</v>
      </c>
      <c r="AF38" s="34">
        <v>10</v>
      </c>
      <c r="AG38" s="36">
        <f t="shared" si="22"/>
        <v>35</v>
      </c>
      <c r="AH38" s="34" t="s">
        <v>276</v>
      </c>
      <c r="AI38" s="36">
        <v>5</v>
      </c>
      <c r="AJ38" s="41">
        <v>5</v>
      </c>
      <c r="AK38" s="36">
        <v>5</v>
      </c>
      <c r="AL38" s="36">
        <v>5</v>
      </c>
      <c r="AM38" s="36">
        <v>5</v>
      </c>
      <c r="AN38" s="34">
        <v>10</v>
      </c>
      <c r="AO38" s="48">
        <f t="shared" si="23"/>
        <v>35</v>
      </c>
      <c r="AP38" s="34" t="s">
        <v>276</v>
      </c>
      <c r="AQ38" s="34">
        <v>20</v>
      </c>
      <c r="AR38" s="35">
        <f t="shared" si="19"/>
        <v>160</v>
      </c>
      <c r="AS38" s="36">
        <v>5</v>
      </c>
      <c r="AT38" s="36">
        <v>5</v>
      </c>
      <c r="AU38" s="36">
        <v>5</v>
      </c>
      <c r="AV38" s="41">
        <v>5</v>
      </c>
      <c r="AW38" s="41">
        <v>5</v>
      </c>
      <c r="AX38" s="34">
        <v>10</v>
      </c>
      <c r="AY38" s="34">
        <f t="shared" si="20"/>
        <v>35</v>
      </c>
      <c r="AZ38" s="34" t="s">
        <v>276</v>
      </c>
      <c r="BA38" s="36">
        <v>5</v>
      </c>
      <c r="BB38" s="36">
        <v>5</v>
      </c>
      <c r="BC38" s="36">
        <v>5</v>
      </c>
      <c r="BD38" s="36">
        <v>5</v>
      </c>
      <c r="BE38" s="36">
        <v>5</v>
      </c>
      <c r="BF38" s="36">
        <v>10</v>
      </c>
      <c r="BG38" s="36">
        <f t="shared" si="24"/>
        <v>35</v>
      </c>
      <c r="BH38" s="45" t="s">
        <v>276</v>
      </c>
      <c r="BI38" s="36">
        <v>5</v>
      </c>
      <c r="BJ38" s="36">
        <v>5</v>
      </c>
      <c r="BK38" s="36">
        <v>5</v>
      </c>
      <c r="BL38" s="36">
        <v>5</v>
      </c>
      <c r="BM38" s="40">
        <v>5</v>
      </c>
      <c r="BN38" s="36">
        <v>10</v>
      </c>
      <c r="BO38" s="50">
        <f t="shared" si="25"/>
        <v>35</v>
      </c>
      <c r="BP38" s="46" t="s">
        <v>276</v>
      </c>
      <c r="BQ38" s="54">
        <v>5</v>
      </c>
      <c r="BR38" s="54">
        <v>5</v>
      </c>
      <c r="BS38" s="47">
        <v>5</v>
      </c>
      <c r="BT38" s="47">
        <v>5</v>
      </c>
      <c r="BU38" s="36">
        <v>5</v>
      </c>
      <c r="BV38" s="47">
        <v>5</v>
      </c>
      <c r="BW38" s="36">
        <f t="shared" si="26"/>
        <v>30</v>
      </c>
      <c r="BX38" s="36">
        <v>20</v>
      </c>
      <c r="BY38" s="36">
        <f>AY38+BG38+BO38+BW38+BX38</f>
        <v>155</v>
      </c>
      <c r="BZ38" s="46" t="s">
        <v>277</v>
      </c>
      <c r="CA38" s="36">
        <v>5</v>
      </c>
      <c r="CB38" s="36">
        <v>5</v>
      </c>
      <c r="CC38" s="36">
        <v>5</v>
      </c>
      <c r="CD38" s="36">
        <v>5</v>
      </c>
      <c r="CE38" s="36">
        <v>5</v>
      </c>
      <c r="CF38" s="34"/>
      <c r="CG38" s="34"/>
      <c r="CH38" s="35"/>
    </row>
    <row r="39" spans="1:94" ht="13">
      <c r="A39" s="36">
        <v>36</v>
      </c>
      <c r="B39" s="38" t="s">
        <v>369</v>
      </c>
      <c r="C39" s="36">
        <v>4</v>
      </c>
      <c r="E39" s="36" t="s">
        <v>294</v>
      </c>
      <c r="F39" s="36" t="s">
        <v>366</v>
      </c>
      <c r="G39" s="36" t="s">
        <v>370</v>
      </c>
      <c r="H39" s="39" t="s">
        <v>371</v>
      </c>
      <c r="I39" s="40" t="s">
        <v>295</v>
      </c>
      <c r="J39" s="40">
        <f t="shared" si="17"/>
        <v>315</v>
      </c>
      <c r="K39" s="41">
        <v>5</v>
      </c>
      <c r="L39" s="41">
        <v>5</v>
      </c>
      <c r="M39" s="41">
        <v>5</v>
      </c>
      <c r="N39" s="41">
        <v>5</v>
      </c>
      <c r="O39" s="41">
        <v>5</v>
      </c>
      <c r="P39" s="41">
        <v>10</v>
      </c>
      <c r="Q39" s="43">
        <f t="shared" si="18"/>
        <v>35</v>
      </c>
      <c r="R39" s="34" t="s">
        <v>276</v>
      </c>
      <c r="S39" s="41">
        <v>5</v>
      </c>
      <c r="T39" s="41">
        <v>5</v>
      </c>
      <c r="U39" s="41">
        <v>5</v>
      </c>
      <c r="V39" s="41">
        <v>5</v>
      </c>
      <c r="W39" s="41">
        <v>5</v>
      </c>
      <c r="X39" s="36">
        <v>10</v>
      </c>
      <c r="Y39" s="36">
        <f t="shared" si="21"/>
        <v>35</v>
      </c>
      <c r="Z39" s="46" t="s">
        <v>276</v>
      </c>
      <c r="AA39" s="41">
        <v>5</v>
      </c>
      <c r="AB39" s="41">
        <v>5</v>
      </c>
      <c r="AC39" s="41">
        <v>5</v>
      </c>
      <c r="AD39" s="41">
        <v>5</v>
      </c>
      <c r="AE39" s="41">
        <v>5</v>
      </c>
      <c r="AF39" s="34">
        <v>10</v>
      </c>
      <c r="AG39" s="36">
        <f t="shared" si="22"/>
        <v>35</v>
      </c>
      <c r="AH39" s="34" t="s">
        <v>276</v>
      </c>
      <c r="AI39" s="36">
        <v>5</v>
      </c>
      <c r="AJ39" s="41">
        <v>5</v>
      </c>
      <c r="AK39" s="36">
        <v>5</v>
      </c>
      <c r="AL39" s="36">
        <v>5</v>
      </c>
      <c r="AM39" s="36">
        <v>5</v>
      </c>
      <c r="AN39" s="34">
        <v>10</v>
      </c>
      <c r="AO39" s="48">
        <f t="shared" si="23"/>
        <v>35</v>
      </c>
      <c r="AP39" s="34" t="s">
        <v>276</v>
      </c>
      <c r="AQ39" s="34">
        <v>20</v>
      </c>
      <c r="AR39" s="35">
        <f t="shared" si="19"/>
        <v>160</v>
      </c>
      <c r="AS39" s="36">
        <v>5</v>
      </c>
      <c r="AT39" s="36">
        <v>5</v>
      </c>
      <c r="AU39" s="36">
        <v>5</v>
      </c>
      <c r="AV39" s="41">
        <v>5</v>
      </c>
      <c r="AW39" s="41">
        <v>5</v>
      </c>
      <c r="AX39" s="34">
        <v>10</v>
      </c>
      <c r="AY39" s="34">
        <f t="shared" si="20"/>
        <v>35</v>
      </c>
      <c r="AZ39" s="34" t="s">
        <v>276</v>
      </c>
      <c r="BA39" s="36">
        <v>5</v>
      </c>
      <c r="BB39" s="36">
        <v>5</v>
      </c>
      <c r="BC39" s="36">
        <v>5</v>
      </c>
      <c r="BD39" s="36">
        <v>5</v>
      </c>
      <c r="BE39" s="36">
        <v>5</v>
      </c>
      <c r="BF39" s="36">
        <v>10</v>
      </c>
      <c r="BG39" s="36">
        <f t="shared" si="24"/>
        <v>35</v>
      </c>
      <c r="BH39" s="45" t="s">
        <v>276</v>
      </c>
      <c r="BI39" s="36">
        <v>5</v>
      </c>
      <c r="BJ39" s="36">
        <v>5</v>
      </c>
      <c r="BK39" s="36">
        <v>5</v>
      </c>
      <c r="BL39" s="36">
        <v>5</v>
      </c>
      <c r="BM39" s="40">
        <v>5</v>
      </c>
      <c r="BN39" s="36">
        <v>10</v>
      </c>
      <c r="BO39" s="50">
        <f t="shared" si="25"/>
        <v>35</v>
      </c>
      <c r="BP39" s="46" t="s">
        <v>276</v>
      </c>
      <c r="BQ39" s="54">
        <v>5</v>
      </c>
      <c r="BR39" s="54">
        <v>5</v>
      </c>
      <c r="BS39" s="47">
        <v>5</v>
      </c>
      <c r="BT39" s="47">
        <v>5</v>
      </c>
      <c r="BU39" s="36">
        <v>5</v>
      </c>
      <c r="BV39" s="47">
        <v>5</v>
      </c>
      <c r="BW39" s="36">
        <f t="shared" si="26"/>
        <v>30</v>
      </c>
      <c r="BX39" s="36">
        <v>20</v>
      </c>
      <c r="BY39" s="36">
        <f>AY39+BG39+BO39+BW39+BX39</f>
        <v>155</v>
      </c>
      <c r="BZ39" s="46" t="s">
        <v>277</v>
      </c>
      <c r="CA39" s="36">
        <v>5</v>
      </c>
      <c r="CB39" s="36">
        <v>5</v>
      </c>
      <c r="CC39" s="36">
        <v>5</v>
      </c>
      <c r="CD39" s="36">
        <v>5</v>
      </c>
      <c r="CE39" s="36">
        <v>5</v>
      </c>
      <c r="CF39" s="34"/>
      <c r="CG39" s="34"/>
      <c r="CH39" s="35"/>
    </row>
    <row r="40" spans="1:94" ht="26">
      <c r="A40" s="36">
        <v>37</v>
      </c>
      <c r="B40" s="38" t="s">
        <v>372</v>
      </c>
      <c r="C40" s="36">
        <v>4</v>
      </c>
      <c r="E40" s="36" t="s">
        <v>290</v>
      </c>
      <c r="F40" s="36" t="s">
        <v>366</v>
      </c>
      <c r="G40" s="36" t="s">
        <v>373</v>
      </c>
      <c r="H40" s="39" t="s">
        <v>374</v>
      </c>
      <c r="I40" s="40" t="s">
        <v>302</v>
      </c>
      <c r="J40" s="40">
        <f t="shared" si="17"/>
        <v>145</v>
      </c>
      <c r="K40" s="41">
        <v>5</v>
      </c>
      <c r="L40" s="41">
        <v>5</v>
      </c>
      <c r="M40" s="41">
        <v>5</v>
      </c>
      <c r="N40" s="41">
        <v>5</v>
      </c>
      <c r="O40" s="41">
        <v>5</v>
      </c>
      <c r="P40" s="41">
        <v>10</v>
      </c>
      <c r="Q40" s="43">
        <f t="shared" si="18"/>
        <v>35</v>
      </c>
      <c r="R40" s="34" t="s">
        <v>276</v>
      </c>
      <c r="S40" s="41">
        <v>5</v>
      </c>
      <c r="T40" s="41">
        <v>5</v>
      </c>
      <c r="U40" s="41">
        <v>5</v>
      </c>
      <c r="V40" s="41">
        <v>5</v>
      </c>
      <c r="W40" s="41">
        <v>5</v>
      </c>
      <c r="X40" s="36">
        <v>10</v>
      </c>
      <c r="Y40" s="36">
        <f t="shared" si="21"/>
        <v>35</v>
      </c>
      <c r="Z40" s="46" t="s">
        <v>276</v>
      </c>
      <c r="AA40" s="41">
        <v>5</v>
      </c>
      <c r="AB40" s="41" t="s">
        <v>314</v>
      </c>
      <c r="AC40" s="41">
        <v>5</v>
      </c>
      <c r="AD40" s="41">
        <v>5</v>
      </c>
      <c r="AE40" s="41">
        <v>5</v>
      </c>
      <c r="AF40" s="34"/>
      <c r="AG40" s="36">
        <f t="shared" si="22"/>
        <v>20</v>
      </c>
      <c r="AH40" s="34"/>
      <c r="AI40" s="41" t="s">
        <v>314</v>
      </c>
      <c r="AJ40" s="41" t="s">
        <v>314</v>
      </c>
      <c r="AK40" s="41" t="s">
        <v>314</v>
      </c>
      <c r="AL40" s="41" t="s">
        <v>314</v>
      </c>
      <c r="AM40" s="72" t="s">
        <v>375</v>
      </c>
      <c r="AN40" s="35"/>
      <c r="AO40" s="48">
        <f t="shared" si="23"/>
        <v>0</v>
      </c>
      <c r="AP40" s="34"/>
      <c r="AQ40" s="51"/>
      <c r="AR40" s="35">
        <f t="shared" si="19"/>
        <v>90</v>
      </c>
      <c r="AS40" s="73" t="s">
        <v>375</v>
      </c>
      <c r="AT40" s="73" t="s">
        <v>375</v>
      </c>
      <c r="AU40" s="73" t="s">
        <v>375</v>
      </c>
      <c r="AV40" s="73" t="s">
        <v>375</v>
      </c>
      <c r="AW40" s="73" t="s">
        <v>375</v>
      </c>
      <c r="AX40" s="34"/>
      <c r="AY40" s="34">
        <f t="shared" si="20"/>
        <v>0</v>
      </c>
      <c r="AZ40" s="35"/>
      <c r="BA40" s="36">
        <v>5</v>
      </c>
      <c r="BB40" s="36">
        <v>5</v>
      </c>
      <c r="BC40" s="36">
        <v>5</v>
      </c>
      <c r="BD40" s="36">
        <v>5</v>
      </c>
      <c r="BE40" s="36">
        <v>5</v>
      </c>
      <c r="BF40" s="36">
        <v>10</v>
      </c>
      <c r="BG40" s="36">
        <f t="shared" si="24"/>
        <v>35</v>
      </c>
      <c r="BH40" s="45" t="s">
        <v>276</v>
      </c>
      <c r="BI40" s="41" t="s">
        <v>314</v>
      </c>
      <c r="BJ40" s="41" t="s">
        <v>314</v>
      </c>
      <c r="BK40" s="41" t="s">
        <v>314</v>
      </c>
      <c r="BL40" s="41" t="s">
        <v>292</v>
      </c>
      <c r="BM40" s="41" t="s">
        <v>292</v>
      </c>
      <c r="BN40" s="34"/>
      <c r="BO40" s="36">
        <f t="shared" si="25"/>
        <v>0</v>
      </c>
      <c r="BP40" s="34"/>
      <c r="BQ40" s="47" t="s">
        <v>314</v>
      </c>
      <c r="BR40" s="54">
        <v>5</v>
      </c>
      <c r="BS40" s="47">
        <v>5</v>
      </c>
      <c r="BT40" s="47">
        <v>5</v>
      </c>
      <c r="BU40" s="36">
        <v>5</v>
      </c>
      <c r="BV40" s="34"/>
      <c r="BW40" s="36">
        <f t="shared" si="26"/>
        <v>20</v>
      </c>
      <c r="BX40" s="36"/>
      <c r="BY40" s="36">
        <f>AY40+BG40+BO40+BW40</f>
        <v>55</v>
      </c>
      <c r="BZ40" s="35"/>
      <c r="CA40" s="36">
        <v>5</v>
      </c>
      <c r="CB40" s="36">
        <v>5</v>
      </c>
      <c r="CC40" s="36">
        <v>5</v>
      </c>
      <c r="CD40" s="36">
        <v>5</v>
      </c>
      <c r="CE40" s="47" t="s">
        <v>292</v>
      </c>
      <c r="CF40" s="34"/>
      <c r="CG40" s="34"/>
      <c r="CH40" s="35"/>
    </row>
    <row r="41" spans="1:94" ht="13">
      <c r="A41" s="36">
        <v>38</v>
      </c>
      <c r="B41" s="38" t="s">
        <v>376</v>
      </c>
      <c r="C41" s="36">
        <v>4</v>
      </c>
      <c r="E41" s="36" t="s">
        <v>294</v>
      </c>
      <c r="F41" s="36" t="s">
        <v>366</v>
      </c>
      <c r="G41" s="36" t="s">
        <v>373</v>
      </c>
      <c r="H41" s="39" t="s">
        <v>377</v>
      </c>
      <c r="I41" s="40" t="s">
        <v>302</v>
      </c>
      <c r="J41" s="40">
        <f t="shared" si="17"/>
        <v>280</v>
      </c>
      <c r="K41" s="42" t="s">
        <v>292</v>
      </c>
      <c r="L41" s="41">
        <v>5</v>
      </c>
      <c r="M41" s="41">
        <v>5</v>
      </c>
      <c r="N41" s="41">
        <v>5</v>
      </c>
      <c r="O41" s="41">
        <v>5</v>
      </c>
      <c r="P41" s="41"/>
      <c r="Q41" s="43">
        <f t="shared" si="18"/>
        <v>20</v>
      </c>
      <c r="R41" s="34"/>
      <c r="S41" s="41">
        <v>5</v>
      </c>
      <c r="T41" s="41">
        <v>5</v>
      </c>
      <c r="U41" s="41">
        <v>5</v>
      </c>
      <c r="V41" s="41">
        <v>5</v>
      </c>
      <c r="W41" s="41">
        <v>5</v>
      </c>
      <c r="X41" s="36">
        <v>10</v>
      </c>
      <c r="Y41" s="36">
        <f t="shared" si="21"/>
        <v>35</v>
      </c>
      <c r="Z41" s="46" t="s">
        <v>276</v>
      </c>
      <c r="AA41" s="41">
        <v>5</v>
      </c>
      <c r="AB41" s="41">
        <v>5</v>
      </c>
      <c r="AC41" s="41">
        <v>5</v>
      </c>
      <c r="AD41" s="41">
        <v>5</v>
      </c>
      <c r="AE41" s="41">
        <v>5</v>
      </c>
      <c r="AF41" s="34">
        <v>10</v>
      </c>
      <c r="AG41" s="36">
        <f t="shared" si="22"/>
        <v>35</v>
      </c>
      <c r="AH41" s="34" t="s">
        <v>276</v>
      </c>
      <c r="AI41" s="36">
        <v>5</v>
      </c>
      <c r="AJ41" s="36">
        <v>5</v>
      </c>
      <c r="AK41" s="36">
        <v>5</v>
      </c>
      <c r="AL41" s="36">
        <v>5</v>
      </c>
      <c r="AM41" s="36">
        <v>5</v>
      </c>
      <c r="AN41" s="34">
        <v>10</v>
      </c>
      <c r="AO41" s="48">
        <f t="shared" si="23"/>
        <v>35</v>
      </c>
      <c r="AP41" s="34" t="s">
        <v>276</v>
      </c>
      <c r="AQ41" s="51"/>
      <c r="AR41" s="35">
        <f t="shared" si="19"/>
        <v>125</v>
      </c>
      <c r="AS41" s="36">
        <v>5</v>
      </c>
      <c r="AT41" s="36">
        <v>5</v>
      </c>
      <c r="AU41" s="36">
        <v>5</v>
      </c>
      <c r="AV41" s="41">
        <v>5</v>
      </c>
      <c r="AW41" s="41">
        <v>5</v>
      </c>
      <c r="AX41" s="34">
        <v>10</v>
      </c>
      <c r="AY41" s="34">
        <f t="shared" si="20"/>
        <v>35</v>
      </c>
      <c r="AZ41" s="34" t="s">
        <v>276</v>
      </c>
      <c r="BA41" s="36">
        <v>5</v>
      </c>
      <c r="BB41" s="36">
        <v>5</v>
      </c>
      <c r="BC41" s="36">
        <v>5</v>
      </c>
      <c r="BD41" s="36">
        <v>5</v>
      </c>
      <c r="BE41" s="36">
        <v>5</v>
      </c>
      <c r="BF41" s="36">
        <v>10</v>
      </c>
      <c r="BG41" s="36">
        <f t="shared" si="24"/>
        <v>35</v>
      </c>
      <c r="BH41" s="45" t="s">
        <v>276</v>
      </c>
      <c r="BI41" s="36">
        <v>5</v>
      </c>
      <c r="BJ41" s="36">
        <v>5</v>
      </c>
      <c r="BK41" s="36">
        <v>5</v>
      </c>
      <c r="BL41" s="36">
        <v>5</v>
      </c>
      <c r="BM41" s="36">
        <v>5</v>
      </c>
      <c r="BN41" s="36">
        <v>10</v>
      </c>
      <c r="BO41" s="36">
        <f t="shared" si="25"/>
        <v>35</v>
      </c>
      <c r="BP41" s="46" t="s">
        <v>276</v>
      </c>
      <c r="BQ41" s="54">
        <v>5</v>
      </c>
      <c r="BR41" s="54">
        <v>5</v>
      </c>
      <c r="BS41" s="47">
        <v>5</v>
      </c>
      <c r="BT41" s="47">
        <v>5</v>
      </c>
      <c r="BU41" s="36">
        <v>5</v>
      </c>
      <c r="BV41" s="47">
        <v>5</v>
      </c>
      <c r="BW41" s="36">
        <f t="shared" si="26"/>
        <v>30</v>
      </c>
      <c r="BX41" s="36">
        <v>20</v>
      </c>
      <c r="BY41" s="36">
        <f>AY41+BG41+BO41+BW41+BX41</f>
        <v>155</v>
      </c>
      <c r="BZ41" s="46" t="s">
        <v>277</v>
      </c>
      <c r="CA41" s="36">
        <v>5</v>
      </c>
      <c r="CB41" s="36">
        <v>5</v>
      </c>
      <c r="CC41" s="36">
        <v>5</v>
      </c>
      <c r="CD41" s="36">
        <v>5</v>
      </c>
      <c r="CE41" s="36">
        <v>5</v>
      </c>
      <c r="CF41" s="34"/>
      <c r="CG41" s="34"/>
      <c r="CH41" s="35"/>
    </row>
    <row r="42" spans="1:94" ht="13">
      <c r="A42" s="36">
        <v>39</v>
      </c>
      <c r="B42" s="38" t="s">
        <v>378</v>
      </c>
      <c r="C42" s="36">
        <v>4</v>
      </c>
      <c r="E42" s="36" t="s">
        <v>294</v>
      </c>
      <c r="F42" s="36" t="s">
        <v>366</v>
      </c>
      <c r="G42" s="36" t="s">
        <v>373</v>
      </c>
      <c r="H42" s="39" t="s">
        <v>379</v>
      </c>
      <c r="I42" s="40" t="s">
        <v>330</v>
      </c>
      <c r="J42" s="40">
        <f t="shared" si="17"/>
        <v>200</v>
      </c>
      <c r="K42" s="41">
        <v>5</v>
      </c>
      <c r="L42" s="41">
        <v>5</v>
      </c>
      <c r="M42" s="41">
        <v>5</v>
      </c>
      <c r="N42" s="41">
        <v>5</v>
      </c>
      <c r="O42" s="41">
        <v>5</v>
      </c>
      <c r="P42" s="41">
        <v>10</v>
      </c>
      <c r="Q42" s="43">
        <f t="shared" si="18"/>
        <v>35</v>
      </c>
      <c r="R42" s="34" t="s">
        <v>276</v>
      </c>
      <c r="S42" s="41" t="s">
        <v>314</v>
      </c>
      <c r="T42" s="41">
        <v>5</v>
      </c>
      <c r="U42" s="41">
        <v>5</v>
      </c>
      <c r="V42" s="41">
        <v>5</v>
      </c>
      <c r="W42" s="41">
        <v>5</v>
      </c>
      <c r="X42" s="34"/>
      <c r="Y42" s="36">
        <f t="shared" si="21"/>
        <v>20</v>
      </c>
      <c r="Z42" s="34"/>
      <c r="AA42" s="41">
        <v>5</v>
      </c>
      <c r="AB42" s="41">
        <v>5</v>
      </c>
      <c r="AC42" s="41">
        <v>5</v>
      </c>
      <c r="AD42" s="41">
        <v>5</v>
      </c>
      <c r="AE42" s="41">
        <v>5</v>
      </c>
      <c r="AF42" s="34">
        <v>10</v>
      </c>
      <c r="AG42" s="36">
        <f t="shared" si="22"/>
        <v>35</v>
      </c>
      <c r="AH42" s="34" t="s">
        <v>276</v>
      </c>
      <c r="AI42" s="36">
        <v>5</v>
      </c>
      <c r="AJ42" s="36">
        <v>5</v>
      </c>
      <c r="AK42" s="41" t="s">
        <v>314</v>
      </c>
      <c r="AL42" s="36">
        <v>5</v>
      </c>
      <c r="AM42" s="36">
        <v>5</v>
      </c>
      <c r="AN42" s="35"/>
      <c r="AO42" s="48">
        <f t="shared" si="23"/>
        <v>20</v>
      </c>
      <c r="AP42" s="34"/>
      <c r="AQ42" s="51"/>
      <c r="AR42" s="35">
        <f t="shared" si="19"/>
        <v>110</v>
      </c>
      <c r="AS42" s="41" t="s">
        <v>292</v>
      </c>
      <c r="AT42" s="36">
        <v>5</v>
      </c>
      <c r="AU42" s="36">
        <v>5</v>
      </c>
      <c r="AV42" s="41">
        <v>5</v>
      </c>
      <c r="AW42" s="41">
        <v>5</v>
      </c>
      <c r="AX42" s="34"/>
      <c r="AY42" s="34">
        <f t="shared" si="20"/>
        <v>20</v>
      </c>
      <c r="AZ42" s="35"/>
      <c r="BA42" s="36">
        <v>5</v>
      </c>
      <c r="BB42" s="36">
        <v>5</v>
      </c>
      <c r="BC42" s="36">
        <v>5</v>
      </c>
      <c r="BD42" s="36">
        <v>5</v>
      </c>
      <c r="BE42" s="41" t="s">
        <v>292</v>
      </c>
      <c r="BF42" s="34"/>
      <c r="BG42" s="36">
        <f t="shared" si="24"/>
        <v>20</v>
      </c>
      <c r="BH42" s="35"/>
      <c r="BI42" s="36">
        <v>5</v>
      </c>
      <c r="BJ42" s="36">
        <v>5</v>
      </c>
      <c r="BK42" s="36">
        <v>5</v>
      </c>
      <c r="BL42" s="41" t="s">
        <v>314</v>
      </c>
      <c r="BM42" s="36">
        <v>5</v>
      </c>
      <c r="BN42" s="34"/>
      <c r="BO42" s="36">
        <f t="shared" si="25"/>
        <v>20</v>
      </c>
      <c r="BP42" s="34"/>
      <c r="BQ42" s="54">
        <v>5</v>
      </c>
      <c r="BR42" s="54">
        <v>5</v>
      </c>
      <c r="BS42" s="47">
        <v>5</v>
      </c>
      <c r="BT42" s="47">
        <v>5</v>
      </c>
      <c r="BU42" s="36">
        <v>5</v>
      </c>
      <c r="BV42" s="47">
        <v>5</v>
      </c>
      <c r="BW42" s="36">
        <f t="shared" si="26"/>
        <v>30</v>
      </c>
      <c r="BX42" s="36"/>
      <c r="BY42" s="36">
        <f>AY42+BG42+BO42+BW42</f>
        <v>90</v>
      </c>
      <c r="BZ42" s="35"/>
      <c r="CA42" s="36">
        <v>5</v>
      </c>
      <c r="CB42" s="36">
        <v>5</v>
      </c>
      <c r="CC42" s="36">
        <v>5</v>
      </c>
      <c r="CD42" s="36">
        <v>5</v>
      </c>
      <c r="CE42" s="36">
        <v>5</v>
      </c>
      <c r="CF42" s="34"/>
      <c r="CG42" s="34"/>
      <c r="CH42" s="35"/>
    </row>
    <row r="43" spans="1:94" ht="13">
      <c r="A43" s="36">
        <v>40</v>
      </c>
      <c r="B43" s="38" t="s">
        <v>380</v>
      </c>
      <c r="C43" s="36">
        <v>4</v>
      </c>
      <c r="E43" s="36" t="s">
        <v>381</v>
      </c>
      <c r="F43" s="36" t="s">
        <v>366</v>
      </c>
      <c r="G43" s="54" t="s">
        <v>373</v>
      </c>
      <c r="H43" s="39" t="s">
        <v>379</v>
      </c>
      <c r="I43" s="40" t="s">
        <v>302</v>
      </c>
      <c r="J43" s="40">
        <f t="shared" si="17"/>
        <v>315</v>
      </c>
      <c r="K43" s="41">
        <v>5</v>
      </c>
      <c r="L43" s="41">
        <v>5</v>
      </c>
      <c r="M43" s="41">
        <v>5</v>
      </c>
      <c r="N43" s="41">
        <v>5</v>
      </c>
      <c r="O43" s="41">
        <v>5</v>
      </c>
      <c r="P43" s="41">
        <v>10</v>
      </c>
      <c r="Q43" s="43">
        <f t="shared" si="18"/>
        <v>35</v>
      </c>
      <c r="R43" s="34" t="s">
        <v>276</v>
      </c>
      <c r="S43" s="41">
        <v>5</v>
      </c>
      <c r="T43" s="41">
        <v>5</v>
      </c>
      <c r="U43" s="41">
        <v>5</v>
      </c>
      <c r="V43" s="41">
        <v>5</v>
      </c>
      <c r="W43" s="41">
        <v>5</v>
      </c>
      <c r="X43" s="36">
        <v>10</v>
      </c>
      <c r="Y43" s="36">
        <f t="shared" si="21"/>
        <v>35</v>
      </c>
      <c r="Z43" s="46" t="s">
        <v>276</v>
      </c>
      <c r="AA43" s="41">
        <v>5</v>
      </c>
      <c r="AB43" s="41">
        <v>5</v>
      </c>
      <c r="AC43" s="41">
        <v>5</v>
      </c>
      <c r="AD43" s="41">
        <v>5</v>
      </c>
      <c r="AE43" s="41">
        <v>5</v>
      </c>
      <c r="AF43" s="34">
        <v>10</v>
      </c>
      <c r="AG43" s="36">
        <f t="shared" si="22"/>
        <v>35</v>
      </c>
      <c r="AH43" s="34" t="s">
        <v>276</v>
      </c>
      <c r="AI43" s="36">
        <v>5</v>
      </c>
      <c r="AJ43" s="36">
        <v>5</v>
      </c>
      <c r="AK43" s="36">
        <v>5</v>
      </c>
      <c r="AL43" s="36">
        <v>5</v>
      </c>
      <c r="AM43" s="36">
        <v>5</v>
      </c>
      <c r="AN43" s="34">
        <v>10</v>
      </c>
      <c r="AO43" s="48">
        <f t="shared" si="23"/>
        <v>35</v>
      </c>
      <c r="AP43" s="34" t="s">
        <v>276</v>
      </c>
      <c r="AQ43" s="34">
        <v>20</v>
      </c>
      <c r="AR43" s="35">
        <f t="shared" si="19"/>
        <v>160</v>
      </c>
      <c r="AS43" s="36">
        <v>5</v>
      </c>
      <c r="AT43" s="36">
        <v>5</v>
      </c>
      <c r="AU43" s="36">
        <v>5</v>
      </c>
      <c r="AV43" s="41">
        <v>5</v>
      </c>
      <c r="AW43" s="41">
        <v>5</v>
      </c>
      <c r="AX43" s="34">
        <v>10</v>
      </c>
      <c r="AY43" s="34">
        <f t="shared" si="20"/>
        <v>35</v>
      </c>
      <c r="AZ43" s="34" t="s">
        <v>276</v>
      </c>
      <c r="BA43" s="36">
        <v>5</v>
      </c>
      <c r="BB43" s="36">
        <v>5</v>
      </c>
      <c r="BC43" s="36">
        <v>5</v>
      </c>
      <c r="BD43" s="36">
        <v>5</v>
      </c>
      <c r="BE43" s="36">
        <v>5</v>
      </c>
      <c r="BF43" s="36">
        <v>10</v>
      </c>
      <c r="BG43" s="36">
        <f t="shared" si="24"/>
        <v>35</v>
      </c>
      <c r="BH43" s="45" t="s">
        <v>276</v>
      </c>
      <c r="BI43" s="36">
        <v>5</v>
      </c>
      <c r="BJ43" s="36">
        <v>5</v>
      </c>
      <c r="BK43" s="36">
        <v>5</v>
      </c>
      <c r="BL43" s="36">
        <v>5</v>
      </c>
      <c r="BM43" s="36">
        <v>5</v>
      </c>
      <c r="BN43" s="36">
        <v>10</v>
      </c>
      <c r="BO43" s="36">
        <f t="shared" si="25"/>
        <v>35</v>
      </c>
      <c r="BP43" s="46" t="s">
        <v>276</v>
      </c>
      <c r="BQ43" s="54">
        <v>5</v>
      </c>
      <c r="BR43" s="54">
        <v>5</v>
      </c>
      <c r="BS43" s="47">
        <v>5</v>
      </c>
      <c r="BT43" s="47">
        <v>5</v>
      </c>
      <c r="BU43" s="36">
        <v>5</v>
      </c>
      <c r="BV43" s="47">
        <v>5</v>
      </c>
      <c r="BW43" s="36">
        <f t="shared" si="26"/>
        <v>30</v>
      </c>
      <c r="BX43" s="36">
        <v>20</v>
      </c>
      <c r="BY43" s="36">
        <f>AY43+BG43+BO43+BW43+BX43</f>
        <v>155</v>
      </c>
      <c r="BZ43" s="46" t="s">
        <v>277</v>
      </c>
      <c r="CA43" s="36">
        <v>5</v>
      </c>
      <c r="CB43" s="36">
        <v>5</v>
      </c>
      <c r="CC43" s="36">
        <v>5</v>
      </c>
      <c r="CD43" s="36">
        <v>5</v>
      </c>
      <c r="CE43" s="36">
        <v>5</v>
      </c>
      <c r="CF43" s="34"/>
      <c r="CG43" s="34"/>
      <c r="CH43" s="35"/>
    </row>
    <row r="44" spans="1:94" ht="26" hidden="1">
      <c r="A44" s="57">
        <v>41</v>
      </c>
      <c r="B44" s="57" t="s">
        <v>382</v>
      </c>
      <c r="C44" s="57">
        <v>4</v>
      </c>
      <c r="D44" s="57"/>
      <c r="E44" s="57" t="s">
        <v>383</v>
      </c>
      <c r="F44" s="57" t="s">
        <v>366</v>
      </c>
      <c r="G44" s="57" t="s">
        <v>384</v>
      </c>
      <c r="H44" s="58" t="s">
        <v>385</v>
      </c>
      <c r="I44" s="59" t="s">
        <v>302</v>
      </c>
      <c r="J44" s="60">
        <f t="shared" si="17"/>
        <v>25</v>
      </c>
      <c r="K44" s="61"/>
      <c r="L44" s="61"/>
      <c r="M44" s="61"/>
      <c r="N44" s="61"/>
      <c r="O44" s="61"/>
      <c r="P44" s="61"/>
      <c r="Q44" s="43">
        <f t="shared" si="18"/>
        <v>0</v>
      </c>
      <c r="R44" s="62"/>
      <c r="S44" s="61"/>
      <c r="T44" s="61"/>
      <c r="U44" s="61"/>
      <c r="V44" s="61"/>
      <c r="W44" s="61"/>
      <c r="X44" s="62"/>
      <c r="Y44" s="57">
        <f t="shared" si="21"/>
        <v>0</v>
      </c>
      <c r="Z44" s="62"/>
      <c r="AA44" s="62"/>
      <c r="AB44" s="61"/>
      <c r="AC44" s="61"/>
      <c r="AD44" s="61"/>
      <c r="AE44" s="61"/>
      <c r="AF44" s="62"/>
      <c r="AG44" s="57">
        <f t="shared" si="22"/>
        <v>0</v>
      </c>
      <c r="AH44" s="62"/>
      <c r="AI44" s="57"/>
      <c r="AJ44" s="57"/>
      <c r="AK44" s="57"/>
      <c r="AL44" s="57"/>
      <c r="AM44" s="57"/>
      <c r="AN44" s="64"/>
      <c r="AO44" s="74">
        <f t="shared" si="23"/>
        <v>0</v>
      </c>
      <c r="AP44" s="62"/>
      <c r="AQ44" s="75"/>
      <c r="AR44" s="64">
        <f t="shared" si="19"/>
        <v>0</v>
      </c>
      <c r="AS44" s="57" t="s">
        <v>386</v>
      </c>
      <c r="AT44" s="57" t="s">
        <v>386</v>
      </c>
      <c r="AU44" s="57" t="s">
        <v>386</v>
      </c>
      <c r="AV44" s="76" t="s">
        <v>386</v>
      </c>
      <c r="AW44" s="57" t="s">
        <v>386</v>
      </c>
      <c r="AX44" s="62"/>
      <c r="AY44" s="62">
        <f t="shared" si="20"/>
        <v>0</v>
      </c>
      <c r="AZ44" s="64"/>
      <c r="BA44" s="57" t="s">
        <v>386</v>
      </c>
      <c r="BB44" s="57" t="s">
        <v>386</v>
      </c>
      <c r="BC44" s="57" t="s">
        <v>386</v>
      </c>
      <c r="BD44" s="57" t="s">
        <v>386</v>
      </c>
      <c r="BE44" s="57" t="s">
        <v>386</v>
      </c>
      <c r="BF44" s="62"/>
      <c r="BG44" s="57">
        <f t="shared" si="24"/>
        <v>0</v>
      </c>
      <c r="BH44" s="64"/>
      <c r="BI44" s="57" t="s">
        <v>386</v>
      </c>
      <c r="BJ44" s="57" t="s">
        <v>386</v>
      </c>
      <c r="BK44" s="57" t="s">
        <v>386</v>
      </c>
      <c r="BL44" s="57" t="s">
        <v>386</v>
      </c>
      <c r="BM44" s="57" t="s">
        <v>386</v>
      </c>
      <c r="BN44" s="57"/>
      <c r="BO44" s="57">
        <f t="shared" si="25"/>
        <v>0</v>
      </c>
      <c r="BP44" s="62"/>
      <c r="BQ44" s="76"/>
      <c r="BR44" s="76"/>
      <c r="BS44" s="76"/>
      <c r="BT44" s="76"/>
      <c r="BU44" s="57"/>
      <c r="BV44" s="65">
        <v>5</v>
      </c>
      <c r="BW44" s="57">
        <f t="shared" si="26"/>
        <v>5</v>
      </c>
      <c r="BX44" s="66">
        <v>20</v>
      </c>
      <c r="BY44" s="66">
        <f>AY44+BG44+BO44+BW44+BX44</f>
        <v>25</v>
      </c>
      <c r="BZ44" s="67" t="s">
        <v>277</v>
      </c>
      <c r="CA44" s="57"/>
      <c r="CB44" s="57"/>
      <c r="CC44" s="57"/>
      <c r="CD44" s="57"/>
      <c r="CE44" s="57"/>
      <c r="CF44" s="62"/>
      <c r="CG44" s="62"/>
      <c r="CH44" s="64"/>
      <c r="CI44" s="62"/>
      <c r="CJ44" s="62"/>
      <c r="CK44" s="62"/>
      <c r="CL44" s="62"/>
      <c r="CM44" s="62"/>
      <c r="CN44" s="62"/>
      <c r="CO44" s="62"/>
      <c r="CP44" s="62"/>
    </row>
    <row r="45" spans="1:94" ht="13">
      <c r="A45" s="36">
        <v>42</v>
      </c>
      <c r="B45" s="38" t="s">
        <v>387</v>
      </c>
      <c r="C45" s="36">
        <v>4</v>
      </c>
      <c r="E45" s="36" t="s">
        <v>294</v>
      </c>
      <c r="F45" s="36" t="s">
        <v>366</v>
      </c>
      <c r="G45" s="36" t="s">
        <v>367</v>
      </c>
      <c r="H45" s="39" t="s">
        <v>388</v>
      </c>
      <c r="I45" s="40" t="s">
        <v>307</v>
      </c>
      <c r="J45" s="40">
        <f t="shared" si="17"/>
        <v>315</v>
      </c>
      <c r="K45" s="41">
        <v>5</v>
      </c>
      <c r="L45" s="41">
        <v>5</v>
      </c>
      <c r="M45" s="41">
        <v>5</v>
      </c>
      <c r="N45" s="41">
        <v>5</v>
      </c>
      <c r="O45" s="41">
        <v>5</v>
      </c>
      <c r="P45" s="41">
        <v>10</v>
      </c>
      <c r="Q45" s="43">
        <f t="shared" si="18"/>
        <v>35</v>
      </c>
      <c r="R45" s="34" t="s">
        <v>276</v>
      </c>
      <c r="S45" s="41">
        <v>5</v>
      </c>
      <c r="T45" s="41">
        <v>5</v>
      </c>
      <c r="U45" s="41">
        <v>5</v>
      </c>
      <c r="V45" s="41">
        <v>5</v>
      </c>
      <c r="W45" s="41">
        <v>5</v>
      </c>
      <c r="X45" s="36">
        <v>10</v>
      </c>
      <c r="Y45" s="36">
        <f t="shared" si="21"/>
        <v>35</v>
      </c>
      <c r="Z45" s="46" t="s">
        <v>276</v>
      </c>
      <c r="AA45" s="41">
        <v>5</v>
      </c>
      <c r="AB45" s="41">
        <v>5</v>
      </c>
      <c r="AC45" s="41">
        <v>5</v>
      </c>
      <c r="AD45" s="41">
        <v>5</v>
      </c>
      <c r="AE45" s="41">
        <v>5</v>
      </c>
      <c r="AF45" s="34">
        <v>10</v>
      </c>
      <c r="AG45" s="36">
        <f t="shared" si="22"/>
        <v>35</v>
      </c>
      <c r="AH45" s="34" t="s">
        <v>276</v>
      </c>
      <c r="AI45" s="36">
        <v>5</v>
      </c>
      <c r="AJ45" s="36">
        <v>5</v>
      </c>
      <c r="AK45" s="36">
        <v>5</v>
      </c>
      <c r="AL45" s="36">
        <v>5</v>
      </c>
      <c r="AM45" s="36">
        <v>5</v>
      </c>
      <c r="AN45" s="34">
        <v>10</v>
      </c>
      <c r="AO45" s="48">
        <f t="shared" si="23"/>
        <v>35</v>
      </c>
      <c r="AP45" s="34" t="s">
        <v>276</v>
      </c>
      <c r="AQ45" s="34">
        <v>20</v>
      </c>
      <c r="AR45" s="35">
        <f t="shared" si="19"/>
        <v>160</v>
      </c>
      <c r="AS45" s="36">
        <v>5</v>
      </c>
      <c r="AT45" s="36">
        <v>5</v>
      </c>
      <c r="AU45" s="36">
        <v>5</v>
      </c>
      <c r="AV45" s="41">
        <v>5</v>
      </c>
      <c r="AW45" s="41">
        <v>5</v>
      </c>
      <c r="AX45" s="34">
        <v>10</v>
      </c>
      <c r="AY45" s="34">
        <f t="shared" si="20"/>
        <v>35</v>
      </c>
      <c r="AZ45" s="34" t="s">
        <v>276</v>
      </c>
      <c r="BA45" s="36">
        <v>5</v>
      </c>
      <c r="BB45" s="36">
        <v>5</v>
      </c>
      <c r="BC45" s="36">
        <v>5</v>
      </c>
      <c r="BD45" s="36">
        <v>5</v>
      </c>
      <c r="BE45" s="36">
        <v>5</v>
      </c>
      <c r="BF45" s="36">
        <v>10</v>
      </c>
      <c r="BG45" s="36">
        <f t="shared" si="24"/>
        <v>35</v>
      </c>
      <c r="BH45" s="45" t="s">
        <v>276</v>
      </c>
      <c r="BI45" s="36">
        <v>5</v>
      </c>
      <c r="BJ45" s="36">
        <v>5</v>
      </c>
      <c r="BK45" s="36">
        <v>5</v>
      </c>
      <c r="BL45" s="36">
        <v>5</v>
      </c>
      <c r="BM45" s="36">
        <v>5</v>
      </c>
      <c r="BN45" s="36">
        <v>10</v>
      </c>
      <c r="BO45" s="36">
        <f t="shared" si="25"/>
        <v>35</v>
      </c>
      <c r="BP45" s="46" t="s">
        <v>276</v>
      </c>
      <c r="BQ45" s="54">
        <v>5</v>
      </c>
      <c r="BR45" s="54">
        <v>5</v>
      </c>
      <c r="BS45" s="47">
        <v>5</v>
      </c>
      <c r="BT45" s="47">
        <v>5</v>
      </c>
      <c r="BU45" s="36">
        <v>5</v>
      </c>
      <c r="BV45" s="47">
        <v>5</v>
      </c>
      <c r="BW45" s="36">
        <f t="shared" si="26"/>
        <v>30</v>
      </c>
      <c r="BX45" s="36">
        <v>20</v>
      </c>
      <c r="BY45" s="36">
        <f>AY45+BG45+BO45+BW45+BX45</f>
        <v>155</v>
      </c>
      <c r="BZ45" s="46" t="s">
        <v>277</v>
      </c>
      <c r="CA45" s="36">
        <v>5</v>
      </c>
      <c r="CB45" s="36">
        <v>5</v>
      </c>
      <c r="CC45" s="36">
        <v>5</v>
      </c>
      <c r="CD45" s="36">
        <v>5</v>
      </c>
      <c r="CE45" s="36">
        <v>5</v>
      </c>
      <c r="CF45" s="34"/>
      <c r="CG45" s="34"/>
      <c r="CH45" s="35"/>
    </row>
    <row r="46" spans="1:94" ht="13">
      <c r="A46" s="36">
        <v>43</v>
      </c>
      <c r="B46" s="38" t="s">
        <v>389</v>
      </c>
      <c r="C46" s="36">
        <v>4</v>
      </c>
      <c r="E46" s="36" t="s">
        <v>309</v>
      </c>
      <c r="F46" s="36" t="s">
        <v>366</v>
      </c>
      <c r="G46" s="36" t="s">
        <v>367</v>
      </c>
      <c r="H46" s="39" t="s">
        <v>368</v>
      </c>
      <c r="I46" s="40" t="s">
        <v>302</v>
      </c>
      <c r="J46" s="40">
        <f t="shared" si="17"/>
        <v>255</v>
      </c>
      <c r="K46" s="41">
        <v>5</v>
      </c>
      <c r="L46" s="41">
        <v>5</v>
      </c>
      <c r="M46" s="41">
        <v>5</v>
      </c>
      <c r="N46" s="41">
        <v>5</v>
      </c>
      <c r="O46" s="41">
        <v>5</v>
      </c>
      <c r="P46" s="41">
        <v>10</v>
      </c>
      <c r="Q46" s="43">
        <f t="shared" si="18"/>
        <v>35</v>
      </c>
      <c r="R46" s="34" t="s">
        <v>276</v>
      </c>
      <c r="S46" s="41">
        <v>5</v>
      </c>
      <c r="T46" s="41">
        <v>5</v>
      </c>
      <c r="U46" s="41">
        <v>5</v>
      </c>
      <c r="V46" s="41">
        <v>5</v>
      </c>
      <c r="W46" s="41">
        <v>5</v>
      </c>
      <c r="X46" s="36">
        <v>10</v>
      </c>
      <c r="Y46" s="36">
        <f t="shared" si="21"/>
        <v>35</v>
      </c>
      <c r="Z46" s="46" t="s">
        <v>276</v>
      </c>
      <c r="AA46" s="41">
        <v>5</v>
      </c>
      <c r="AB46" s="41">
        <v>5</v>
      </c>
      <c r="AC46" s="41">
        <v>5</v>
      </c>
      <c r="AD46" s="41">
        <v>5</v>
      </c>
      <c r="AE46" s="41">
        <v>5</v>
      </c>
      <c r="AF46" s="34">
        <v>10</v>
      </c>
      <c r="AG46" s="36">
        <f t="shared" si="22"/>
        <v>35</v>
      </c>
      <c r="AH46" s="34" t="s">
        <v>276</v>
      </c>
      <c r="AI46" s="36">
        <v>5</v>
      </c>
      <c r="AJ46" s="36">
        <v>5</v>
      </c>
      <c r="AK46" s="36">
        <v>5</v>
      </c>
      <c r="AL46" s="36">
        <v>5</v>
      </c>
      <c r="AM46" s="36">
        <v>5</v>
      </c>
      <c r="AN46" s="34">
        <v>10</v>
      </c>
      <c r="AO46" s="48">
        <f t="shared" si="23"/>
        <v>35</v>
      </c>
      <c r="AP46" s="34" t="s">
        <v>276</v>
      </c>
      <c r="AQ46" s="34">
        <v>20</v>
      </c>
      <c r="AR46" s="35">
        <f t="shared" si="19"/>
        <v>160</v>
      </c>
      <c r="AS46" s="36">
        <v>5</v>
      </c>
      <c r="AT46" s="36">
        <v>5</v>
      </c>
      <c r="AU46" s="36">
        <v>5</v>
      </c>
      <c r="AV46" s="41">
        <v>5</v>
      </c>
      <c r="AW46" s="41">
        <v>5</v>
      </c>
      <c r="AX46" s="34">
        <v>10</v>
      </c>
      <c r="AY46" s="34">
        <f t="shared" si="20"/>
        <v>35</v>
      </c>
      <c r="AZ46" s="34" t="s">
        <v>276</v>
      </c>
      <c r="BA46" s="36">
        <v>5</v>
      </c>
      <c r="BB46" s="36">
        <v>5</v>
      </c>
      <c r="BC46" s="36">
        <v>5</v>
      </c>
      <c r="BD46" s="36">
        <v>5</v>
      </c>
      <c r="BE46" s="41" t="s">
        <v>314</v>
      </c>
      <c r="BF46" s="34"/>
      <c r="BG46" s="36">
        <f t="shared" si="24"/>
        <v>20</v>
      </c>
      <c r="BH46" s="35"/>
      <c r="BI46" s="41" t="s">
        <v>314</v>
      </c>
      <c r="BJ46" s="36">
        <v>5</v>
      </c>
      <c r="BK46" s="36">
        <v>5</v>
      </c>
      <c r="BL46" s="36">
        <v>5</v>
      </c>
      <c r="BM46" s="36">
        <v>5</v>
      </c>
      <c r="BN46" s="34"/>
      <c r="BO46" s="36">
        <f t="shared" si="25"/>
        <v>20</v>
      </c>
      <c r="BP46" s="34"/>
      <c r="BQ46" s="54">
        <v>5</v>
      </c>
      <c r="BR46" s="47" t="s">
        <v>314</v>
      </c>
      <c r="BS46" s="47">
        <v>5</v>
      </c>
      <c r="BT46" s="47">
        <v>5</v>
      </c>
      <c r="BU46" s="36">
        <v>5</v>
      </c>
      <c r="BV46" s="34"/>
      <c r="BW46" s="36">
        <f t="shared" si="26"/>
        <v>20</v>
      </c>
      <c r="BX46" s="36"/>
      <c r="BY46" s="36">
        <f>AY46+BG46+BO46+BW46</f>
        <v>95</v>
      </c>
      <c r="BZ46" s="35"/>
      <c r="CA46" s="36">
        <v>5</v>
      </c>
      <c r="CB46" s="47" t="s">
        <v>314</v>
      </c>
      <c r="CC46" s="36">
        <v>5</v>
      </c>
      <c r="CD46" s="36">
        <v>5</v>
      </c>
      <c r="CE46" s="36">
        <v>5</v>
      </c>
      <c r="CF46" s="34"/>
      <c r="CG46" s="34"/>
      <c r="CH46" s="35"/>
    </row>
    <row r="47" spans="1:94" ht="13">
      <c r="A47" s="36">
        <v>44</v>
      </c>
      <c r="B47" s="38" t="s">
        <v>390</v>
      </c>
      <c r="C47" s="36">
        <v>4</v>
      </c>
      <c r="E47" s="36" t="s">
        <v>290</v>
      </c>
      <c r="F47" s="36" t="s">
        <v>366</v>
      </c>
      <c r="G47" s="36" t="s">
        <v>367</v>
      </c>
      <c r="H47" s="39" t="s">
        <v>368</v>
      </c>
      <c r="I47" s="40" t="s">
        <v>302</v>
      </c>
      <c r="J47" s="40">
        <f t="shared" si="17"/>
        <v>280</v>
      </c>
      <c r="K47" s="41">
        <v>5</v>
      </c>
      <c r="L47" s="41">
        <v>5</v>
      </c>
      <c r="M47" s="41">
        <v>5</v>
      </c>
      <c r="N47" s="41">
        <v>5</v>
      </c>
      <c r="O47" s="41">
        <v>5</v>
      </c>
      <c r="P47" s="41">
        <v>10</v>
      </c>
      <c r="Q47" s="43">
        <f t="shared" si="18"/>
        <v>35</v>
      </c>
      <c r="R47" s="34" t="s">
        <v>276</v>
      </c>
      <c r="S47" s="41">
        <v>5</v>
      </c>
      <c r="T47" s="41">
        <v>5</v>
      </c>
      <c r="U47" s="41">
        <v>5</v>
      </c>
      <c r="V47" s="41">
        <v>5</v>
      </c>
      <c r="W47" s="41">
        <v>5</v>
      </c>
      <c r="X47" s="36">
        <v>10</v>
      </c>
      <c r="Y47" s="36">
        <f t="shared" si="21"/>
        <v>35</v>
      </c>
      <c r="Z47" s="46" t="s">
        <v>276</v>
      </c>
      <c r="AA47" s="41">
        <v>5</v>
      </c>
      <c r="AB47" s="41">
        <v>5</v>
      </c>
      <c r="AC47" s="41">
        <v>5</v>
      </c>
      <c r="AD47" s="41">
        <v>5</v>
      </c>
      <c r="AE47" s="41">
        <v>5</v>
      </c>
      <c r="AF47" s="34">
        <v>10</v>
      </c>
      <c r="AG47" s="36">
        <f t="shared" si="22"/>
        <v>35</v>
      </c>
      <c r="AH47" s="34" t="s">
        <v>276</v>
      </c>
      <c r="AI47" s="36">
        <v>5</v>
      </c>
      <c r="AJ47" s="36">
        <v>5</v>
      </c>
      <c r="AK47" s="36">
        <v>5</v>
      </c>
      <c r="AL47" s="36">
        <v>5</v>
      </c>
      <c r="AM47" s="36">
        <v>5</v>
      </c>
      <c r="AN47" s="34">
        <v>10</v>
      </c>
      <c r="AO47" s="48">
        <f t="shared" si="23"/>
        <v>35</v>
      </c>
      <c r="AP47" s="34" t="s">
        <v>276</v>
      </c>
      <c r="AQ47" s="34">
        <v>20</v>
      </c>
      <c r="AR47" s="35">
        <f t="shared" si="19"/>
        <v>160</v>
      </c>
      <c r="AS47" s="36">
        <v>5</v>
      </c>
      <c r="AT47" s="36">
        <v>5</v>
      </c>
      <c r="AU47" s="36">
        <v>5</v>
      </c>
      <c r="AV47" s="41">
        <v>5</v>
      </c>
      <c r="AW47" s="41">
        <v>5</v>
      </c>
      <c r="AX47" s="34">
        <v>10</v>
      </c>
      <c r="AY47" s="34">
        <f t="shared" si="20"/>
        <v>35</v>
      </c>
      <c r="AZ47" s="34" t="s">
        <v>276</v>
      </c>
      <c r="BA47" s="36">
        <v>5</v>
      </c>
      <c r="BB47" s="36">
        <v>5</v>
      </c>
      <c r="BC47" s="36">
        <v>5</v>
      </c>
      <c r="BD47" s="36">
        <v>5</v>
      </c>
      <c r="BE47" s="36">
        <v>5</v>
      </c>
      <c r="BF47" s="36">
        <v>10</v>
      </c>
      <c r="BG47" s="36">
        <f t="shared" si="24"/>
        <v>35</v>
      </c>
      <c r="BH47" s="45" t="s">
        <v>276</v>
      </c>
      <c r="BI47" s="41" t="s">
        <v>314</v>
      </c>
      <c r="BJ47" s="36">
        <v>5</v>
      </c>
      <c r="BK47" s="36">
        <v>5</v>
      </c>
      <c r="BL47" s="36">
        <v>5</v>
      </c>
      <c r="BM47" s="36">
        <v>5</v>
      </c>
      <c r="BN47" s="34"/>
      <c r="BO47" s="36">
        <f t="shared" si="25"/>
        <v>20</v>
      </c>
      <c r="BP47" s="34"/>
      <c r="BQ47" s="54">
        <v>5</v>
      </c>
      <c r="BR47" s="54">
        <v>5</v>
      </c>
      <c r="BS47" s="47">
        <v>5</v>
      </c>
      <c r="BT47" s="47">
        <v>5</v>
      </c>
      <c r="BU47" s="36">
        <v>5</v>
      </c>
      <c r="BV47" s="47">
        <v>5</v>
      </c>
      <c r="BW47" s="36">
        <f t="shared" si="26"/>
        <v>30</v>
      </c>
      <c r="BX47" s="36"/>
      <c r="BY47" s="36">
        <f>AY47+BG47+BO47+BW47</f>
        <v>120</v>
      </c>
      <c r="BZ47" s="35"/>
      <c r="CA47" s="36">
        <v>5</v>
      </c>
      <c r="CB47" s="36">
        <v>5</v>
      </c>
      <c r="CC47" s="36">
        <v>5</v>
      </c>
      <c r="CD47" s="36">
        <v>5</v>
      </c>
      <c r="CE47" s="36">
        <v>5</v>
      </c>
      <c r="CF47" s="34"/>
      <c r="CG47" s="34"/>
      <c r="CH47" s="35"/>
    </row>
    <row r="48" spans="1:94" ht="13">
      <c r="A48" s="36">
        <v>45</v>
      </c>
      <c r="B48" s="38" t="s">
        <v>391</v>
      </c>
      <c r="C48" s="36">
        <v>4</v>
      </c>
      <c r="E48" s="36" t="s">
        <v>290</v>
      </c>
      <c r="F48" s="36" t="s">
        <v>366</v>
      </c>
      <c r="G48" s="36" t="s">
        <v>367</v>
      </c>
      <c r="H48" s="39" t="s">
        <v>388</v>
      </c>
      <c r="I48" s="40"/>
      <c r="J48" s="40">
        <f t="shared" si="17"/>
        <v>315</v>
      </c>
      <c r="K48" s="41">
        <v>5</v>
      </c>
      <c r="L48" s="41">
        <v>5</v>
      </c>
      <c r="M48" s="41">
        <v>5</v>
      </c>
      <c r="N48" s="41">
        <v>5</v>
      </c>
      <c r="O48" s="41">
        <v>5</v>
      </c>
      <c r="P48" s="41">
        <v>10</v>
      </c>
      <c r="Q48" s="43">
        <f t="shared" si="18"/>
        <v>35</v>
      </c>
      <c r="R48" s="34" t="s">
        <v>276</v>
      </c>
      <c r="S48" s="41">
        <v>5</v>
      </c>
      <c r="T48" s="41">
        <v>5</v>
      </c>
      <c r="U48" s="41">
        <v>5</v>
      </c>
      <c r="V48" s="41">
        <v>5</v>
      </c>
      <c r="W48" s="41">
        <v>5</v>
      </c>
      <c r="X48" s="36">
        <v>10</v>
      </c>
      <c r="Y48" s="36">
        <f t="shared" si="21"/>
        <v>35</v>
      </c>
      <c r="Z48" s="46" t="s">
        <v>276</v>
      </c>
      <c r="AA48" s="41">
        <v>5</v>
      </c>
      <c r="AB48" s="41">
        <v>5</v>
      </c>
      <c r="AC48" s="41">
        <v>5</v>
      </c>
      <c r="AD48" s="41">
        <v>5</v>
      </c>
      <c r="AE48" s="41">
        <v>5</v>
      </c>
      <c r="AF48" s="34">
        <v>10</v>
      </c>
      <c r="AG48" s="36">
        <f t="shared" si="22"/>
        <v>35</v>
      </c>
      <c r="AH48" s="34" t="s">
        <v>276</v>
      </c>
      <c r="AI48" s="36">
        <v>5</v>
      </c>
      <c r="AJ48" s="36">
        <v>5</v>
      </c>
      <c r="AK48" s="41">
        <v>5</v>
      </c>
      <c r="AL48" s="36">
        <v>5</v>
      </c>
      <c r="AM48" s="36">
        <v>5</v>
      </c>
      <c r="AN48" s="34">
        <v>10</v>
      </c>
      <c r="AO48" s="48">
        <f t="shared" si="23"/>
        <v>35</v>
      </c>
      <c r="AP48" s="34" t="s">
        <v>276</v>
      </c>
      <c r="AQ48" s="34">
        <v>20</v>
      </c>
      <c r="AR48" s="35">
        <f t="shared" si="19"/>
        <v>160</v>
      </c>
      <c r="AS48" s="36">
        <v>5</v>
      </c>
      <c r="AT48" s="36">
        <v>5</v>
      </c>
      <c r="AU48" s="36">
        <v>5</v>
      </c>
      <c r="AV48" s="41">
        <v>5</v>
      </c>
      <c r="AW48" s="41">
        <v>5</v>
      </c>
      <c r="AX48" s="34">
        <v>10</v>
      </c>
      <c r="AY48" s="34">
        <f t="shared" si="20"/>
        <v>35</v>
      </c>
      <c r="AZ48" s="34" t="s">
        <v>276</v>
      </c>
      <c r="BA48" s="36">
        <v>5</v>
      </c>
      <c r="BB48" s="36">
        <v>5</v>
      </c>
      <c r="BC48" s="36">
        <v>5</v>
      </c>
      <c r="BD48" s="36">
        <v>5</v>
      </c>
      <c r="BE48" s="36">
        <v>5</v>
      </c>
      <c r="BF48" s="36">
        <v>10</v>
      </c>
      <c r="BG48" s="36">
        <f t="shared" si="24"/>
        <v>35</v>
      </c>
      <c r="BH48" s="45" t="s">
        <v>276</v>
      </c>
      <c r="BI48" s="36">
        <v>5</v>
      </c>
      <c r="BJ48" s="36">
        <v>5</v>
      </c>
      <c r="BK48" s="36">
        <v>5</v>
      </c>
      <c r="BL48" s="36">
        <v>5</v>
      </c>
      <c r="BM48" s="40">
        <v>5</v>
      </c>
      <c r="BN48" s="36">
        <v>10</v>
      </c>
      <c r="BO48" s="50">
        <f t="shared" si="25"/>
        <v>35</v>
      </c>
      <c r="BP48" s="46" t="s">
        <v>276</v>
      </c>
      <c r="BQ48" s="54">
        <v>5</v>
      </c>
      <c r="BR48" s="54">
        <v>5</v>
      </c>
      <c r="BS48" s="47">
        <v>5</v>
      </c>
      <c r="BT48" s="47">
        <v>5</v>
      </c>
      <c r="BU48" s="36">
        <v>5</v>
      </c>
      <c r="BV48" s="47">
        <v>5</v>
      </c>
      <c r="BW48" s="36">
        <f t="shared" si="26"/>
        <v>30</v>
      </c>
      <c r="BX48" s="36">
        <v>20</v>
      </c>
      <c r="BY48" s="36">
        <f t="shared" ref="BY48:BY53" si="27">AY48+BG48+BO48+BW48+BX48</f>
        <v>155</v>
      </c>
      <c r="BZ48" s="46" t="s">
        <v>277</v>
      </c>
      <c r="CA48" s="36">
        <v>5</v>
      </c>
      <c r="CB48" s="47">
        <v>5</v>
      </c>
      <c r="CC48" s="36">
        <v>5</v>
      </c>
      <c r="CD48" s="36">
        <v>5</v>
      </c>
      <c r="CE48" s="36">
        <v>5</v>
      </c>
      <c r="CF48" s="34"/>
      <c r="CG48" s="34"/>
      <c r="CH48" s="35"/>
    </row>
    <row r="49" spans="1:86" ht="13">
      <c r="A49" s="36">
        <v>46</v>
      </c>
      <c r="B49" s="38" t="s">
        <v>392</v>
      </c>
      <c r="C49" s="36">
        <v>4</v>
      </c>
      <c r="E49" s="36" t="s">
        <v>393</v>
      </c>
      <c r="F49" s="36" t="s">
        <v>366</v>
      </c>
      <c r="G49" s="36" t="s">
        <v>367</v>
      </c>
      <c r="H49" s="39" t="s">
        <v>368</v>
      </c>
      <c r="I49" s="40" t="s">
        <v>337</v>
      </c>
      <c r="J49" s="40">
        <f t="shared" si="17"/>
        <v>315</v>
      </c>
      <c r="K49" s="41">
        <v>5</v>
      </c>
      <c r="L49" s="41">
        <v>5</v>
      </c>
      <c r="M49" s="41">
        <v>5</v>
      </c>
      <c r="N49" s="41">
        <v>5</v>
      </c>
      <c r="O49" s="41">
        <v>5</v>
      </c>
      <c r="P49" s="41">
        <v>10</v>
      </c>
      <c r="Q49" s="43">
        <f t="shared" si="18"/>
        <v>35</v>
      </c>
      <c r="R49" s="34" t="s">
        <v>276</v>
      </c>
      <c r="S49" s="41">
        <v>5</v>
      </c>
      <c r="T49" s="41">
        <v>5</v>
      </c>
      <c r="U49" s="41">
        <v>5</v>
      </c>
      <c r="V49" s="41">
        <v>5</v>
      </c>
      <c r="W49" s="41">
        <v>5</v>
      </c>
      <c r="X49" s="36">
        <v>10</v>
      </c>
      <c r="Y49" s="36">
        <f t="shared" si="21"/>
        <v>35</v>
      </c>
      <c r="Z49" s="46" t="s">
        <v>276</v>
      </c>
      <c r="AA49" s="41">
        <v>5</v>
      </c>
      <c r="AB49" s="41">
        <v>5</v>
      </c>
      <c r="AC49" s="41">
        <v>5</v>
      </c>
      <c r="AD49" s="41">
        <v>5</v>
      </c>
      <c r="AE49" s="41">
        <v>5</v>
      </c>
      <c r="AF49" s="34">
        <v>10</v>
      </c>
      <c r="AG49" s="36">
        <f t="shared" si="22"/>
        <v>35</v>
      </c>
      <c r="AH49" s="34" t="s">
        <v>276</v>
      </c>
      <c r="AI49" s="36">
        <v>5</v>
      </c>
      <c r="AJ49" s="36">
        <v>5</v>
      </c>
      <c r="AK49" s="36">
        <v>5</v>
      </c>
      <c r="AL49" s="36">
        <v>5</v>
      </c>
      <c r="AM49" s="36">
        <v>5</v>
      </c>
      <c r="AN49" s="34">
        <v>10</v>
      </c>
      <c r="AO49" s="48">
        <f t="shared" si="23"/>
        <v>35</v>
      </c>
      <c r="AP49" s="34" t="s">
        <v>276</v>
      </c>
      <c r="AQ49" s="34">
        <v>20</v>
      </c>
      <c r="AR49" s="35">
        <f t="shared" si="19"/>
        <v>160</v>
      </c>
      <c r="AS49" s="36">
        <v>5</v>
      </c>
      <c r="AT49" s="36">
        <v>5</v>
      </c>
      <c r="AU49" s="36">
        <v>5</v>
      </c>
      <c r="AV49" s="41">
        <v>5</v>
      </c>
      <c r="AW49" s="41">
        <v>5</v>
      </c>
      <c r="AX49" s="34">
        <v>10</v>
      </c>
      <c r="AY49" s="34">
        <f t="shared" si="20"/>
        <v>35</v>
      </c>
      <c r="AZ49" s="34" t="s">
        <v>276</v>
      </c>
      <c r="BA49" s="36">
        <v>5</v>
      </c>
      <c r="BB49" s="36">
        <v>5</v>
      </c>
      <c r="BC49" s="36">
        <v>5</v>
      </c>
      <c r="BD49" s="36">
        <v>5</v>
      </c>
      <c r="BE49" s="36">
        <v>5</v>
      </c>
      <c r="BF49" s="36">
        <v>10</v>
      </c>
      <c r="BG49" s="36">
        <f t="shared" si="24"/>
        <v>35</v>
      </c>
      <c r="BH49" s="45" t="s">
        <v>276</v>
      </c>
      <c r="BI49" s="36">
        <v>5</v>
      </c>
      <c r="BJ49" s="36">
        <v>5</v>
      </c>
      <c r="BK49" s="36">
        <v>5</v>
      </c>
      <c r="BL49" s="36">
        <v>5</v>
      </c>
      <c r="BM49" s="40">
        <v>5</v>
      </c>
      <c r="BN49" s="36">
        <v>10</v>
      </c>
      <c r="BO49" s="50">
        <f t="shared" si="25"/>
        <v>35</v>
      </c>
      <c r="BP49" s="46" t="s">
        <v>276</v>
      </c>
      <c r="BQ49" s="54">
        <v>5</v>
      </c>
      <c r="BR49" s="54">
        <v>5</v>
      </c>
      <c r="BS49" s="47">
        <v>5</v>
      </c>
      <c r="BT49" s="47">
        <v>5</v>
      </c>
      <c r="BU49" s="36">
        <v>5</v>
      </c>
      <c r="BV49" s="47">
        <v>5</v>
      </c>
      <c r="BW49" s="36">
        <f t="shared" si="26"/>
        <v>30</v>
      </c>
      <c r="BX49" s="36">
        <v>20</v>
      </c>
      <c r="BY49" s="36">
        <f t="shared" si="27"/>
        <v>155</v>
      </c>
      <c r="BZ49" s="46" t="s">
        <v>277</v>
      </c>
      <c r="CA49" s="36">
        <v>5</v>
      </c>
      <c r="CB49" s="36">
        <v>5</v>
      </c>
      <c r="CC49" s="36">
        <v>5</v>
      </c>
      <c r="CD49" s="36">
        <v>5</v>
      </c>
      <c r="CE49" s="36">
        <v>5</v>
      </c>
      <c r="CF49" s="34"/>
      <c r="CG49" s="34"/>
      <c r="CH49" s="35"/>
    </row>
    <row r="50" spans="1:86" ht="13">
      <c r="A50" s="36">
        <v>47</v>
      </c>
      <c r="B50" s="37" t="s">
        <v>394</v>
      </c>
      <c r="C50" s="36">
        <v>5</v>
      </c>
      <c r="D50" s="38" t="s">
        <v>270</v>
      </c>
      <c r="E50" s="36" t="s">
        <v>294</v>
      </c>
      <c r="F50" s="36" t="s">
        <v>395</v>
      </c>
      <c r="G50" s="36" t="s">
        <v>396</v>
      </c>
      <c r="H50" s="39" t="s">
        <v>397</v>
      </c>
      <c r="I50" s="40" t="s">
        <v>330</v>
      </c>
      <c r="J50" s="40">
        <f t="shared" si="17"/>
        <v>315</v>
      </c>
      <c r="K50" s="41">
        <v>5</v>
      </c>
      <c r="L50" s="41">
        <v>5</v>
      </c>
      <c r="M50" s="41">
        <v>5</v>
      </c>
      <c r="N50" s="41">
        <v>5</v>
      </c>
      <c r="O50" s="41">
        <v>5</v>
      </c>
      <c r="P50" s="41">
        <v>10</v>
      </c>
      <c r="Q50" s="43">
        <f t="shared" si="18"/>
        <v>35</v>
      </c>
      <c r="R50" s="34" t="s">
        <v>276</v>
      </c>
      <c r="S50" s="41">
        <v>5</v>
      </c>
      <c r="T50" s="41">
        <v>5</v>
      </c>
      <c r="U50" s="41">
        <v>5</v>
      </c>
      <c r="V50" s="41">
        <v>5</v>
      </c>
      <c r="W50" s="41">
        <v>5</v>
      </c>
      <c r="X50" s="36">
        <v>10</v>
      </c>
      <c r="Y50" s="36">
        <f t="shared" si="21"/>
        <v>35</v>
      </c>
      <c r="Z50" s="46" t="s">
        <v>276</v>
      </c>
      <c r="AA50" s="41">
        <v>5</v>
      </c>
      <c r="AB50" s="41">
        <v>5</v>
      </c>
      <c r="AC50" s="56">
        <v>5</v>
      </c>
      <c r="AD50" s="41">
        <v>5</v>
      </c>
      <c r="AE50" s="41">
        <v>5</v>
      </c>
      <c r="AF50" s="34">
        <v>10</v>
      </c>
      <c r="AG50" s="36">
        <f t="shared" si="22"/>
        <v>35</v>
      </c>
      <c r="AH50" s="34" t="s">
        <v>276</v>
      </c>
      <c r="AI50" s="41">
        <v>5</v>
      </c>
      <c r="AJ50" s="36">
        <v>5</v>
      </c>
      <c r="AK50" s="41">
        <v>5</v>
      </c>
      <c r="AL50" s="41">
        <v>5</v>
      </c>
      <c r="AM50" s="41">
        <v>5</v>
      </c>
      <c r="AN50" s="34">
        <v>10</v>
      </c>
      <c r="AO50" s="48">
        <f t="shared" si="23"/>
        <v>35</v>
      </c>
      <c r="AP50" s="34" t="s">
        <v>276</v>
      </c>
      <c r="AQ50" s="34">
        <v>20</v>
      </c>
      <c r="AR50" s="35">
        <f t="shared" si="19"/>
        <v>160</v>
      </c>
      <c r="AS50" s="41">
        <v>5</v>
      </c>
      <c r="AT50" s="41">
        <v>5</v>
      </c>
      <c r="AU50" s="41">
        <v>5</v>
      </c>
      <c r="AV50" s="41">
        <v>5</v>
      </c>
      <c r="AW50" s="41">
        <v>5</v>
      </c>
      <c r="AX50" s="34">
        <v>10</v>
      </c>
      <c r="AY50" s="34">
        <f t="shared" si="20"/>
        <v>35</v>
      </c>
      <c r="AZ50" s="34" t="s">
        <v>276</v>
      </c>
      <c r="BA50" s="36">
        <v>5</v>
      </c>
      <c r="BB50" s="41">
        <v>5</v>
      </c>
      <c r="BC50" s="41">
        <v>5</v>
      </c>
      <c r="BD50" s="41">
        <v>5</v>
      </c>
      <c r="BE50" s="41">
        <v>5</v>
      </c>
      <c r="BF50" s="36">
        <v>10</v>
      </c>
      <c r="BG50" s="36">
        <f t="shared" si="24"/>
        <v>35</v>
      </c>
      <c r="BH50" s="45" t="s">
        <v>276</v>
      </c>
      <c r="BI50" s="41">
        <v>5</v>
      </c>
      <c r="BJ50" s="36">
        <v>5</v>
      </c>
      <c r="BK50" s="41">
        <v>5</v>
      </c>
      <c r="BL50" s="41">
        <v>5</v>
      </c>
      <c r="BM50" s="40">
        <v>5</v>
      </c>
      <c r="BN50" s="36">
        <v>10</v>
      </c>
      <c r="BO50" s="50">
        <f t="shared" si="25"/>
        <v>35</v>
      </c>
      <c r="BP50" s="46" t="s">
        <v>276</v>
      </c>
      <c r="BQ50" s="47">
        <v>5</v>
      </c>
      <c r="BR50" s="54">
        <v>5</v>
      </c>
      <c r="BS50" s="47">
        <v>5</v>
      </c>
      <c r="BT50" s="47">
        <v>5</v>
      </c>
      <c r="BU50" s="47">
        <v>5</v>
      </c>
      <c r="BV50" s="47">
        <v>5</v>
      </c>
      <c r="BW50" s="36">
        <f t="shared" si="26"/>
        <v>30</v>
      </c>
      <c r="BX50" s="36">
        <v>20</v>
      </c>
      <c r="BY50" s="36">
        <f t="shared" si="27"/>
        <v>155</v>
      </c>
      <c r="BZ50" s="46" t="s">
        <v>277</v>
      </c>
      <c r="CA50" s="47">
        <v>5</v>
      </c>
      <c r="CB50" s="47">
        <v>5</v>
      </c>
      <c r="CC50" s="47">
        <v>5</v>
      </c>
      <c r="CD50" s="36">
        <v>5</v>
      </c>
      <c r="CE50" s="47">
        <v>5</v>
      </c>
      <c r="CF50" s="34"/>
      <c r="CG50" s="34"/>
      <c r="CH50" s="35"/>
    </row>
    <row r="51" spans="1:86" ht="13">
      <c r="A51" s="36">
        <v>48</v>
      </c>
      <c r="B51" s="37" t="s">
        <v>398</v>
      </c>
      <c r="C51" s="36">
        <v>5</v>
      </c>
      <c r="E51" s="36" t="s">
        <v>271</v>
      </c>
      <c r="F51" s="36" t="s">
        <v>395</v>
      </c>
      <c r="G51" s="36" t="s">
        <v>399</v>
      </c>
      <c r="H51" s="39" t="s">
        <v>400</v>
      </c>
      <c r="I51" s="40" t="s">
        <v>302</v>
      </c>
      <c r="J51" s="40">
        <f t="shared" si="17"/>
        <v>315</v>
      </c>
      <c r="K51" s="41">
        <v>5</v>
      </c>
      <c r="L51" s="41">
        <v>5</v>
      </c>
      <c r="M51" s="41">
        <v>5</v>
      </c>
      <c r="N51" s="41">
        <v>5</v>
      </c>
      <c r="O51" s="41">
        <v>5</v>
      </c>
      <c r="P51" s="41">
        <v>10</v>
      </c>
      <c r="Q51" s="43">
        <f t="shared" si="18"/>
        <v>35</v>
      </c>
      <c r="R51" s="34" t="s">
        <v>276</v>
      </c>
      <c r="S51" s="41">
        <v>5</v>
      </c>
      <c r="T51" s="41">
        <v>5</v>
      </c>
      <c r="U51" s="41">
        <v>5</v>
      </c>
      <c r="V51" s="41">
        <v>5</v>
      </c>
      <c r="W51" s="41">
        <v>5</v>
      </c>
      <c r="X51" s="36">
        <v>10</v>
      </c>
      <c r="Y51" s="36">
        <f t="shared" si="21"/>
        <v>35</v>
      </c>
      <c r="Z51" s="46" t="s">
        <v>276</v>
      </c>
      <c r="AA51" s="41">
        <v>5</v>
      </c>
      <c r="AB51" s="41">
        <v>5</v>
      </c>
      <c r="AC51" s="41">
        <v>5</v>
      </c>
      <c r="AD51" s="41">
        <v>5</v>
      </c>
      <c r="AE51" s="41">
        <v>5</v>
      </c>
      <c r="AF51" s="34">
        <v>10</v>
      </c>
      <c r="AG51" s="36">
        <f t="shared" si="22"/>
        <v>35</v>
      </c>
      <c r="AH51" s="34" t="s">
        <v>276</v>
      </c>
      <c r="AI51" s="56">
        <v>5</v>
      </c>
      <c r="AJ51" s="56">
        <v>5</v>
      </c>
      <c r="AK51" s="56">
        <v>5</v>
      </c>
      <c r="AL51" s="41">
        <v>5</v>
      </c>
      <c r="AM51" s="56">
        <v>5</v>
      </c>
      <c r="AN51" s="34">
        <v>10</v>
      </c>
      <c r="AO51" s="48">
        <f t="shared" si="23"/>
        <v>35</v>
      </c>
      <c r="AP51" s="34" t="s">
        <v>276</v>
      </c>
      <c r="AQ51" s="34">
        <v>20</v>
      </c>
      <c r="AR51" s="35">
        <f t="shared" si="19"/>
        <v>160</v>
      </c>
      <c r="AS51" s="41">
        <v>5</v>
      </c>
      <c r="AT51" s="41">
        <v>5</v>
      </c>
      <c r="AU51" s="41">
        <v>5</v>
      </c>
      <c r="AV51" s="41">
        <v>5</v>
      </c>
      <c r="AW51" s="41">
        <v>5</v>
      </c>
      <c r="AX51" s="34">
        <v>10</v>
      </c>
      <c r="AY51" s="34">
        <f t="shared" si="20"/>
        <v>35</v>
      </c>
      <c r="AZ51" s="34" t="s">
        <v>276</v>
      </c>
      <c r="BA51" s="41">
        <v>5</v>
      </c>
      <c r="BB51" s="41">
        <v>5</v>
      </c>
      <c r="BC51" s="41">
        <v>5</v>
      </c>
      <c r="BD51" s="41">
        <v>5</v>
      </c>
      <c r="BE51" s="41">
        <v>5</v>
      </c>
      <c r="BF51" s="36">
        <v>10</v>
      </c>
      <c r="BG51" s="36">
        <f t="shared" si="24"/>
        <v>35</v>
      </c>
      <c r="BH51" s="45" t="s">
        <v>276</v>
      </c>
      <c r="BI51" s="41">
        <v>5</v>
      </c>
      <c r="BJ51" s="41">
        <v>5</v>
      </c>
      <c r="BK51" s="41">
        <v>5</v>
      </c>
      <c r="BL51" s="41">
        <v>5</v>
      </c>
      <c r="BM51" s="49">
        <v>5</v>
      </c>
      <c r="BN51" s="36">
        <v>10</v>
      </c>
      <c r="BO51" s="50">
        <f t="shared" si="25"/>
        <v>35</v>
      </c>
      <c r="BP51" s="46" t="s">
        <v>276</v>
      </c>
      <c r="BQ51" s="47">
        <v>5</v>
      </c>
      <c r="BR51" s="47">
        <v>5</v>
      </c>
      <c r="BS51" s="47">
        <v>5</v>
      </c>
      <c r="BT51" s="47">
        <v>5</v>
      </c>
      <c r="BU51" s="47">
        <v>5</v>
      </c>
      <c r="BV51" s="47">
        <v>5</v>
      </c>
      <c r="BW51" s="36">
        <f t="shared" si="26"/>
        <v>30</v>
      </c>
      <c r="BX51" s="36">
        <v>20</v>
      </c>
      <c r="BY51" s="36">
        <f t="shared" si="27"/>
        <v>155</v>
      </c>
      <c r="BZ51" s="46" t="s">
        <v>277</v>
      </c>
      <c r="CA51" s="47" t="s">
        <v>314</v>
      </c>
      <c r="CB51" s="47" t="s">
        <v>314</v>
      </c>
      <c r="CC51" s="47" t="s">
        <v>314</v>
      </c>
      <c r="CD51" s="47" t="s">
        <v>314</v>
      </c>
      <c r="CE51" s="47" t="s">
        <v>314</v>
      </c>
      <c r="CF51" s="34"/>
      <c r="CG51" s="34"/>
      <c r="CH51" s="35"/>
    </row>
    <row r="52" spans="1:86" ht="13">
      <c r="A52" s="36">
        <v>49</v>
      </c>
      <c r="B52" s="37" t="s">
        <v>401</v>
      </c>
      <c r="C52" s="36">
        <v>5</v>
      </c>
      <c r="E52" s="36" t="s">
        <v>271</v>
      </c>
      <c r="F52" s="36" t="s">
        <v>304</v>
      </c>
      <c r="G52" s="36" t="s">
        <v>305</v>
      </c>
      <c r="H52" s="39" t="s">
        <v>402</v>
      </c>
      <c r="I52" s="40" t="s">
        <v>330</v>
      </c>
      <c r="J52" s="40">
        <f t="shared" si="17"/>
        <v>315</v>
      </c>
      <c r="K52" s="41">
        <v>5</v>
      </c>
      <c r="L52" s="41">
        <v>5</v>
      </c>
      <c r="M52" s="41">
        <v>5</v>
      </c>
      <c r="N52" s="41">
        <v>5</v>
      </c>
      <c r="O52" s="41">
        <v>5</v>
      </c>
      <c r="P52" s="41">
        <v>10</v>
      </c>
      <c r="Q52" s="43">
        <f t="shared" si="18"/>
        <v>35</v>
      </c>
      <c r="R52" s="34" t="s">
        <v>276</v>
      </c>
      <c r="S52" s="41">
        <v>5</v>
      </c>
      <c r="T52" s="41">
        <v>5</v>
      </c>
      <c r="U52" s="41">
        <v>5</v>
      </c>
      <c r="V52" s="41">
        <v>5</v>
      </c>
      <c r="W52" s="41">
        <v>5</v>
      </c>
      <c r="X52" s="36">
        <v>10</v>
      </c>
      <c r="Y52" s="36">
        <f t="shared" si="21"/>
        <v>35</v>
      </c>
      <c r="Z52" s="46" t="s">
        <v>276</v>
      </c>
      <c r="AA52" s="41">
        <v>5</v>
      </c>
      <c r="AB52" s="41">
        <v>5</v>
      </c>
      <c r="AC52" s="41">
        <v>5</v>
      </c>
      <c r="AD52" s="41">
        <v>5</v>
      </c>
      <c r="AE52" s="41">
        <v>5</v>
      </c>
      <c r="AF52" s="34">
        <v>10</v>
      </c>
      <c r="AG52" s="36">
        <f t="shared" si="22"/>
        <v>35</v>
      </c>
      <c r="AH52" s="34" t="s">
        <v>276</v>
      </c>
      <c r="AI52" s="56">
        <v>5</v>
      </c>
      <c r="AJ52" s="56">
        <v>5</v>
      </c>
      <c r="AK52" s="56">
        <v>5</v>
      </c>
      <c r="AL52" s="41">
        <v>5</v>
      </c>
      <c r="AM52" s="56">
        <v>5</v>
      </c>
      <c r="AN52" s="34">
        <v>10</v>
      </c>
      <c r="AO52" s="48">
        <f t="shared" si="23"/>
        <v>35</v>
      </c>
      <c r="AP52" s="34" t="s">
        <v>276</v>
      </c>
      <c r="AQ52" s="34">
        <v>20</v>
      </c>
      <c r="AR52" s="35">
        <f t="shared" si="19"/>
        <v>160</v>
      </c>
      <c r="AS52" s="41">
        <v>5</v>
      </c>
      <c r="AT52" s="41">
        <v>5</v>
      </c>
      <c r="AU52" s="41">
        <v>5</v>
      </c>
      <c r="AV52" s="41">
        <v>5</v>
      </c>
      <c r="AW52" s="41">
        <v>5</v>
      </c>
      <c r="AX52" s="34">
        <v>10</v>
      </c>
      <c r="AY52" s="34">
        <f t="shared" si="20"/>
        <v>35</v>
      </c>
      <c r="AZ52" s="34" t="s">
        <v>276</v>
      </c>
      <c r="BA52" s="41">
        <v>5</v>
      </c>
      <c r="BB52" s="41">
        <v>5</v>
      </c>
      <c r="BC52" s="41">
        <v>5</v>
      </c>
      <c r="BD52" s="41">
        <v>5</v>
      </c>
      <c r="BE52" s="41">
        <v>5</v>
      </c>
      <c r="BF52" s="36">
        <v>10</v>
      </c>
      <c r="BG52" s="36">
        <f t="shared" si="24"/>
        <v>35</v>
      </c>
      <c r="BH52" s="45" t="s">
        <v>276</v>
      </c>
      <c r="BI52" s="41">
        <v>5</v>
      </c>
      <c r="BJ52" s="41">
        <v>5</v>
      </c>
      <c r="BK52" s="41">
        <v>5</v>
      </c>
      <c r="BL52" s="41">
        <v>5</v>
      </c>
      <c r="BM52" s="49">
        <v>5</v>
      </c>
      <c r="BN52" s="36">
        <v>10</v>
      </c>
      <c r="BO52" s="50">
        <f t="shared" si="25"/>
        <v>35</v>
      </c>
      <c r="BP52" s="46" t="s">
        <v>276</v>
      </c>
      <c r="BQ52" s="47">
        <v>5</v>
      </c>
      <c r="BR52" s="47">
        <v>5</v>
      </c>
      <c r="BS52" s="47">
        <v>5</v>
      </c>
      <c r="BT52" s="47">
        <v>5</v>
      </c>
      <c r="BU52" s="47">
        <v>5</v>
      </c>
      <c r="BV52" s="47">
        <v>5</v>
      </c>
      <c r="BW52" s="36">
        <f t="shared" si="26"/>
        <v>30</v>
      </c>
      <c r="BX52" s="36">
        <v>20</v>
      </c>
      <c r="BY52" s="36">
        <f t="shared" si="27"/>
        <v>155</v>
      </c>
      <c r="BZ52" s="46" t="s">
        <v>277</v>
      </c>
      <c r="CA52" s="47">
        <v>5</v>
      </c>
      <c r="CB52" s="47">
        <v>5</v>
      </c>
      <c r="CC52" s="47">
        <v>5</v>
      </c>
      <c r="CD52" s="47">
        <v>5</v>
      </c>
      <c r="CE52" s="47">
        <v>5</v>
      </c>
      <c r="CF52" s="34"/>
      <c r="CG52" s="34"/>
      <c r="CH52" s="35"/>
    </row>
    <row r="53" spans="1:86" ht="13">
      <c r="A53" s="36">
        <v>50</v>
      </c>
      <c r="B53" s="37" t="s">
        <v>403</v>
      </c>
      <c r="C53" s="36">
        <v>5</v>
      </c>
      <c r="E53" s="36" t="s">
        <v>294</v>
      </c>
      <c r="F53" s="36" t="s">
        <v>395</v>
      </c>
      <c r="G53" s="36" t="s">
        <v>404</v>
      </c>
      <c r="H53" s="39" t="s">
        <v>402</v>
      </c>
      <c r="I53" s="40" t="s">
        <v>337</v>
      </c>
      <c r="J53" s="40">
        <f t="shared" si="17"/>
        <v>315</v>
      </c>
      <c r="K53" s="41">
        <v>5</v>
      </c>
      <c r="L53" s="41">
        <v>5</v>
      </c>
      <c r="M53" s="41">
        <v>5</v>
      </c>
      <c r="N53" s="41">
        <v>5</v>
      </c>
      <c r="O53" s="41">
        <v>5</v>
      </c>
      <c r="P53" s="41">
        <v>10</v>
      </c>
      <c r="Q53" s="43">
        <f t="shared" si="18"/>
        <v>35</v>
      </c>
      <c r="R53" s="34" t="s">
        <v>276</v>
      </c>
      <c r="S53" s="41">
        <v>5</v>
      </c>
      <c r="T53" s="41">
        <v>5</v>
      </c>
      <c r="U53" s="41">
        <v>5</v>
      </c>
      <c r="V53" s="41">
        <v>5</v>
      </c>
      <c r="W53" s="41">
        <v>5</v>
      </c>
      <c r="X53" s="36">
        <v>10</v>
      </c>
      <c r="Y53" s="36">
        <f t="shared" si="21"/>
        <v>35</v>
      </c>
      <c r="Z53" s="46" t="s">
        <v>276</v>
      </c>
      <c r="AA53" s="41">
        <v>5</v>
      </c>
      <c r="AB53" s="41">
        <v>5</v>
      </c>
      <c r="AC53" s="41">
        <v>5</v>
      </c>
      <c r="AD53" s="41">
        <v>5</v>
      </c>
      <c r="AE53" s="41">
        <v>5</v>
      </c>
      <c r="AF53" s="34">
        <v>10</v>
      </c>
      <c r="AG53" s="36">
        <f t="shared" si="22"/>
        <v>35</v>
      </c>
      <c r="AH53" s="34" t="s">
        <v>276</v>
      </c>
      <c r="AI53" s="56">
        <v>5</v>
      </c>
      <c r="AJ53" s="56">
        <v>5</v>
      </c>
      <c r="AK53" s="56">
        <v>5</v>
      </c>
      <c r="AL53" s="41">
        <v>5</v>
      </c>
      <c r="AM53" s="56">
        <v>5</v>
      </c>
      <c r="AN53" s="34">
        <v>10</v>
      </c>
      <c r="AO53" s="48">
        <f t="shared" si="23"/>
        <v>35</v>
      </c>
      <c r="AP53" s="34" t="s">
        <v>276</v>
      </c>
      <c r="AQ53" s="34">
        <v>20</v>
      </c>
      <c r="AR53" s="35">
        <f t="shared" si="19"/>
        <v>160</v>
      </c>
      <c r="AS53" s="41">
        <v>5</v>
      </c>
      <c r="AT53" s="41">
        <v>5</v>
      </c>
      <c r="AU53" s="41">
        <v>5</v>
      </c>
      <c r="AV53" s="41">
        <v>5</v>
      </c>
      <c r="AW53" s="41">
        <v>5</v>
      </c>
      <c r="AX53" s="34">
        <v>10</v>
      </c>
      <c r="AY53" s="34">
        <f t="shared" si="20"/>
        <v>35</v>
      </c>
      <c r="AZ53" s="34" t="s">
        <v>276</v>
      </c>
      <c r="BA53" s="41">
        <v>5</v>
      </c>
      <c r="BB53" s="41">
        <v>5</v>
      </c>
      <c r="BC53" s="41">
        <v>5</v>
      </c>
      <c r="BD53" s="41">
        <v>5</v>
      </c>
      <c r="BE53" s="41">
        <v>5</v>
      </c>
      <c r="BF53" s="36">
        <v>10</v>
      </c>
      <c r="BG53" s="36">
        <f t="shared" si="24"/>
        <v>35</v>
      </c>
      <c r="BH53" s="45" t="s">
        <v>276</v>
      </c>
      <c r="BI53" s="41">
        <v>5</v>
      </c>
      <c r="BJ53" s="41">
        <v>5</v>
      </c>
      <c r="BK53" s="41">
        <v>5</v>
      </c>
      <c r="BL53" s="41">
        <v>5</v>
      </c>
      <c r="BM53" s="49">
        <v>5</v>
      </c>
      <c r="BN53" s="36">
        <v>10</v>
      </c>
      <c r="BO53" s="50">
        <f t="shared" si="25"/>
        <v>35</v>
      </c>
      <c r="BP53" s="46" t="s">
        <v>276</v>
      </c>
      <c r="BQ53" s="47">
        <v>5</v>
      </c>
      <c r="BR53" s="47">
        <v>5</v>
      </c>
      <c r="BS53" s="47">
        <v>5</v>
      </c>
      <c r="BT53" s="47">
        <v>5</v>
      </c>
      <c r="BU53" s="47">
        <v>5</v>
      </c>
      <c r="BV53" s="47">
        <v>5</v>
      </c>
      <c r="BW53" s="36">
        <f t="shared" si="26"/>
        <v>30</v>
      </c>
      <c r="BX53" s="36">
        <v>20</v>
      </c>
      <c r="BY53" s="36">
        <f t="shared" si="27"/>
        <v>155</v>
      </c>
      <c r="BZ53" s="46" t="s">
        <v>277</v>
      </c>
      <c r="CA53" s="47">
        <v>5</v>
      </c>
      <c r="CB53" s="47">
        <v>5</v>
      </c>
      <c r="CC53" s="47">
        <v>5</v>
      </c>
      <c r="CD53" s="47">
        <v>5</v>
      </c>
      <c r="CE53" s="47">
        <v>5</v>
      </c>
      <c r="CF53" s="34"/>
      <c r="CG53" s="34"/>
      <c r="CH53" s="35"/>
    </row>
    <row r="54" spans="1:86" ht="13">
      <c r="A54" s="36">
        <v>51</v>
      </c>
      <c r="B54" s="37" t="s">
        <v>405</v>
      </c>
      <c r="C54" s="36">
        <v>5</v>
      </c>
      <c r="E54" s="36" t="s">
        <v>290</v>
      </c>
      <c r="F54" s="36" t="s">
        <v>395</v>
      </c>
      <c r="G54" s="36" t="s">
        <v>404</v>
      </c>
      <c r="H54" s="39" t="s">
        <v>402</v>
      </c>
      <c r="I54" s="40" t="s">
        <v>297</v>
      </c>
      <c r="J54" s="40">
        <f t="shared" si="17"/>
        <v>240</v>
      </c>
      <c r="K54" s="41">
        <v>5</v>
      </c>
      <c r="L54" s="41">
        <v>5</v>
      </c>
      <c r="M54" s="41">
        <v>5</v>
      </c>
      <c r="N54" s="41" t="s">
        <v>314</v>
      </c>
      <c r="O54" s="41">
        <v>5</v>
      </c>
      <c r="P54" s="41"/>
      <c r="Q54" s="43">
        <f t="shared" si="18"/>
        <v>20</v>
      </c>
      <c r="R54" s="34"/>
      <c r="S54" s="41">
        <v>5</v>
      </c>
      <c r="T54" s="41">
        <v>5</v>
      </c>
      <c r="U54" s="41">
        <v>5</v>
      </c>
      <c r="V54" s="41">
        <v>5</v>
      </c>
      <c r="W54" s="41">
        <v>5</v>
      </c>
      <c r="X54" s="36">
        <v>10</v>
      </c>
      <c r="Y54" s="36">
        <f t="shared" si="21"/>
        <v>35</v>
      </c>
      <c r="Z54" s="46" t="s">
        <v>276</v>
      </c>
      <c r="AA54" s="41">
        <v>5</v>
      </c>
      <c r="AB54" s="41">
        <v>5</v>
      </c>
      <c r="AC54" s="41">
        <v>5</v>
      </c>
      <c r="AD54" s="41">
        <v>5</v>
      </c>
      <c r="AE54" s="41">
        <v>5</v>
      </c>
      <c r="AF54" s="34">
        <v>10</v>
      </c>
      <c r="AG54" s="36">
        <f t="shared" si="22"/>
        <v>35</v>
      </c>
      <c r="AH54" s="34" t="s">
        <v>276</v>
      </c>
      <c r="AI54" s="56">
        <v>5</v>
      </c>
      <c r="AJ54" s="56">
        <v>5</v>
      </c>
      <c r="AK54" s="56">
        <v>5</v>
      </c>
      <c r="AL54" s="41">
        <v>5</v>
      </c>
      <c r="AM54" s="56">
        <v>5</v>
      </c>
      <c r="AN54" s="34">
        <v>10</v>
      </c>
      <c r="AO54" s="48">
        <f t="shared" si="23"/>
        <v>35</v>
      </c>
      <c r="AP54" s="34" t="s">
        <v>276</v>
      </c>
      <c r="AQ54" s="51"/>
      <c r="AR54" s="35">
        <f t="shared" si="19"/>
        <v>125</v>
      </c>
      <c r="AS54" s="41">
        <v>5</v>
      </c>
      <c r="AT54" s="41">
        <v>5</v>
      </c>
      <c r="AU54" s="41">
        <v>5</v>
      </c>
      <c r="AV54" s="41">
        <v>5</v>
      </c>
      <c r="AW54" s="41">
        <v>5</v>
      </c>
      <c r="AX54" s="34">
        <v>10</v>
      </c>
      <c r="AY54" s="34">
        <f t="shared" si="20"/>
        <v>35</v>
      </c>
      <c r="AZ54" s="34" t="s">
        <v>276</v>
      </c>
      <c r="BA54" s="41">
        <v>5</v>
      </c>
      <c r="BB54" s="41">
        <v>5</v>
      </c>
      <c r="BC54" s="41">
        <v>5</v>
      </c>
      <c r="BD54" s="41">
        <v>5</v>
      </c>
      <c r="BE54" s="41">
        <v>5</v>
      </c>
      <c r="BF54" s="36">
        <v>10</v>
      </c>
      <c r="BG54" s="36">
        <f t="shared" si="24"/>
        <v>35</v>
      </c>
      <c r="BH54" s="45" t="s">
        <v>276</v>
      </c>
      <c r="BI54" s="41">
        <v>5</v>
      </c>
      <c r="BJ54" s="41">
        <v>5</v>
      </c>
      <c r="BK54" s="41">
        <v>5</v>
      </c>
      <c r="BL54" s="41" t="s">
        <v>314</v>
      </c>
      <c r="BM54" s="41" t="s">
        <v>314</v>
      </c>
      <c r="BN54" s="34"/>
      <c r="BO54" s="36">
        <f t="shared" si="25"/>
        <v>15</v>
      </c>
      <c r="BP54" s="34"/>
      <c r="BQ54" s="47">
        <v>5</v>
      </c>
      <c r="BR54" s="47">
        <v>5</v>
      </c>
      <c r="BS54" s="47">
        <v>5</v>
      </c>
      <c r="BT54" s="47">
        <v>5</v>
      </c>
      <c r="BU54" s="47">
        <v>5</v>
      </c>
      <c r="BV54" s="47">
        <v>5</v>
      </c>
      <c r="BW54" s="36">
        <f t="shared" si="26"/>
        <v>30</v>
      </c>
      <c r="BX54" s="36"/>
      <c r="BY54" s="36">
        <f>AY54+BG54+BO54+BW54</f>
        <v>115</v>
      </c>
      <c r="BZ54" s="35"/>
      <c r="CA54" s="47">
        <v>5</v>
      </c>
      <c r="CB54" s="47">
        <v>5</v>
      </c>
      <c r="CC54" s="47">
        <v>5</v>
      </c>
      <c r="CD54" s="47">
        <v>5</v>
      </c>
      <c r="CE54" s="47" t="s">
        <v>314</v>
      </c>
      <c r="CF54" s="34"/>
      <c r="CG54" s="34"/>
      <c r="CH54" s="35"/>
    </row>
    <row r="55" spans="1:86" ht="13">
      <c r="A55" s="36">
        <v>52</v>
      </c>
      <c r="B55" s="37" t="s">
        <v>406</v>
      </c>
      <c r="C55" s="36">
        <v>5</v>
      </c>
      <c r="E55" s="36" t="s">
        <v>294</v>
      </c>
      <c r="F55" s="36" t="s">
        <v>304</v>
      </c>
      <c r="G55" s="36" t="s">
        <v>305</v>
      </c>
      <c r="H55" s="39" t="s">
        <v>402</v>
      </c>
      <c r="I55" s="40" t="s">
        <v>302</v>
      </c>
      <c r="J55" s="40">
        <f t="shared" si="17"/>
        <v>280</v>
      </c>
      <c r="K55" s="41">
        <v>5</v>
      </c>
      <c r="L55" s="41">
        <v>5</v>
      </c>
      <c r="M55" s="41">
        <v>5</v>
      </c>
      <c r="N55" s="41">
        <v>5</v>
      </c>
      <c r="O55" s="41">
        <v>5</v>
      </c>
      <c r="P55" s="41">
        <v>10</v>
      </c>
      <c r="Q55" s="43">
        <f t="shared" si="18"/>
        <v>35</v>
      </c>
      <c r="R55" s="34" t="s">
        <v>276</v>
      </c>
      <c r="S55" s="41">
        <v>5</v>
      </c>
      <c r="T55" s="41">
        <v>5</v>
      </c>
      <c r="U55" s="41" t="s">
        <v>314</v>
      </c>
      <c r="V55" s="41">
        <v>5</v>
      </c>
      <c r="W55" s="41">
        <v>5</v>
      </c>
      <c r="X55" s="34"/>
      <c r="Y55" s="36">
        <f t="shared" si="21"/>
        <v>20</v>
      </c>
      <c r="Z55" s="34"/>
      <c r="AA55" s="41">
        <v>5</v>
      </c>
      <c r="AB55" s="41">
        <v>5</v>
      </c>
      <c r="AC55" s="41">
        <v>5</v>
      </c>
      <c r="AD55" s="41">
        <v>5</v>
      </c>
      <c r="AE55" s="41">
        <v>5</v>
      </c>
      <c r="AF55" s="34">
        <v>10</v>
      </c>
      <c r="AG55" s="36">
        <f t="shared" si="22"/>
        <v>35</v>
      </c>
      <c r="AH55" s="34" t="s">
        <v>276</v>
      </c>
      <c r="AI55" s="56">
        <v>5</v>
      </c>
      <c r="AJ55" s="56">
        <v>5</v>
      </c>
      <c r="AK55" s="56">
        <v>5</v>
      </c>
      <c r="AL55" s="41">
        <v>5</v>
      </c>
      <c r="AM55" s="56">
        <v>5</v>
      </c>
      <c r="AN55" s="34">
        <v>10</v>
      </c>
      <c r="AO55" s="48">
        <f t="shared" si="23"/>
        <v>35</v>
      </c>
      <c r="AP55" s="34" t="s">
        <v>276</v>
      </c>
      <c r="AQ55" s="51"/>
      <c r="AR55" s="35">
        <f t="shared" si="19"/>
        <v>125</v>
      </c>
      <c r="AS55" s="41">
        <v>5</v>
      </c>
      <c r="AT55" s="41">
        <v>5</v>
      </c>
      <c r="AU55" s="41">
        <v>5</v>
      </c>
      <c r="AV55" s="41">
        <v>5</v>
      </c>
      <c r="AW55" s="41">
        <v>5</v>
      </c>
      <c r="AX55" s="34">
        <v>10</v>
      </c>
      <c r="AY55" s="34">
        <f t="shared" si="20"/>
        <v>35</v>
      </c>
      <c r="AZ55" s="34" t="s">
        <v>276</v>
      </c>
      <c r="BA55" s="41">
        <v>5</v>
      </c>
      <c r="BB55" s="41">
        <v>5</v>
      </c>
      <c r="BC55" s="41">
        <v>5</v>
      </c>
      <c r="BD55" s="41">
        <v>5</v>
      </c>
      <c r="BE55" s="41">
        <v>5</v>
      </c>
      <c r="BF55" s="36">
        <v>10</v>
      </c>
      <c r="BG55" s="36">
        <f t="shared" si="24"/>
        <v>35</v>
      </c>
      <c r="BH55" s="45" t="s">
        <v>276</v>
      </c>
      <c r="BI55" s="41">
        <v>5</v>
      </c>
      <c r="BJ55" s="41">
        <v>5</v>
      </c>
      <c r="BK55" s="41">
        <v>5</v>
      </c>
      <c r="BL55" s="41">
        <v>5</v>
      </c>
      <c r="BM55" s="49">
        <v>5</v>
      </c>
      <c r="BN55" s="36">
        <v>10</v>
      </c>
      <c r="BO55" s="50">
        <f t="shared" si="25"/>
        <v>35</v>
      </c>
      <c r="BP55" s="46" t="s">
        <v>276</v>
      </c>
      <c r="BQ55" s="47">
        <v>5</v>
      </c>
      <c r="BR55" s="47">
        <v>5</v>
      </c>
      <c r="BS55" s="47">
        <v>5</v>
      </c>
      <c r="BT55" s="47">
        <v>5</v>
      </c>
      <c r="BU55" s="47">
        <v>5</v>
      </c>
      <c r="BV55" s="47">
        <v>5</v>
      </c>
      <c r="BW55" s="36">
        <f t="shared" si="26"/>
        <v>30</v>
      </c>
      <c r="BX55" s="36">
        <v>20</v>
      </c>
      <c r="BY55" s="36">
        <f>AY55+BG55+BO55+BW55+BX55</f>
        <v>155</v>
      </c>
      <c r="BZ55" s="46" t="s">
        <v>277</v>
      </c>
      <c r="CA55" s="47">
        <v>5</v>
      </c>
      <c r="CB55" s="47">
        <v>5</v>
      </c>
      <c r="CC55" s="47" t="s">
        <v>314</v>
      </c>
      <c r="CD55" s="47">
        <v>5</v>
      </c>
      <c r="CE55" s="47">
        <v>5</v>
      </c>
      <c r="CF55" s="34"/>
      <c r="CG55" s="34"/>
      <c r="CH55" s="35"/>
    </row>
    <row r="56" spans="1:86" ht="13">
      <c r="A56" s="36">
        <v>53</v>
      </c>
      <c r="B56" s="37" t="s">
        <v>407</v>
      </c>
      <c r="C56" s="36">
        <v>5</v>
      </c>
      <c r="E56" s="36" t="s">
        <v>294</v>
      </c>
      <c r="F56" s="36" t="s">
        <v>395</v>
      </c>
      <c r="G56" s="36" t="s">
        <v>404</v>
      </c>
      <c r="H56" s="39" t="s">
        <v>402</v>
      </c>
      <c r="I56" s="40"/>
      <c r="J56" s="40">
        <f t="shared" si="17"/>
        <v>315</v>
      </c>
      <c r="K56" s="41">
        <v>5</v>
      </c>
      <c r="L56" s="41">
        <v>5</v>
      </c>
      <c r="M56" s="41">
        <v>5</v>
      </c>
      <c r="N56" s="41">
        <v>5</v>
      </c>
      <c r="O56" s="41">
        <v>5</v>
      </c>
      <c r="P56" s="41">
        <v>10</v>
      </c>
      <c r="Q56" s="43">
        <f t="shared" si="18"/>
        <v>35</v>
      </c>
      <c r="R56" s="34" t="s">
        <v>276</v>
      </c>
      <c r="S56" s="41">
        <v>5</v>
      </c>
      <c r="T56" s="41">
        <v>5</v>
      </c>
      <c r="U56" s="41">
        <v>5</v>
      </c>
      <c r="V56" s="41">
        <v>5</v>
      </c>
      <c r="W56" s="41">
        <v>5</v>
      </c>
      <c r="X56" s="36">
        <v>10</v>
      </c>
      <c r="Y56" s="36">
        <f t="shared" si="21"/>
        <v>35</v>
      </c>
      <c r="Z56" s="46" t="s">
        <v>276</v>
      </c>
      <c r="AA56" s="41">
        <v>5</v>
      </c>
      <c r="AB56" s="41">
        <v>5</v>
      </c>
      <c r="AC56" s="41">
        <v>5</v>
      </c>
      <c r="AD56" s="41">
        <v>5</v>
      </c>
      <c r="AE56" s="41">
        <v>5</v>
      </c>
      <c r="AF56" s="34">
        <v>10</v>
      </c>
      <c r="AG56" s="36">
        <f t="shared" si="22"/>
        <v>35</v>
      </c>
      <c r="AH56" s="34" t="s">
        <v>276</v>
      </c>
      <c r="AI56" s="56">
        <v>5</v>
      </c>
      <c r="AJ56" s="56">
        <v>5</v>
      </c>
      <c r="AK56" s="56">
        <v>5</v>
      </c>
      <c r="AL56" s="41">
        <v>5</v>
      </c>
      <c r="AM56" s="56">
        <v>5</v>
      </c>
      <c r="AN56" s="34">
        <v>10</v>
      </c>
      <c r="AO56" s="48">
        <f t="shared" si="23"/>
        <v>35</v>
      </c>
      <c r="AP56" s="34" t="s">
        <v>276</v>
      </c>
      <c r="AQ56" s="34">
        <v>20</v>
      </c>
      <c r="AR56" s="35">
        <f t="shared" si="19"/>
        <v>160</v>
      </c>
      <c r="AS56" s="41">
        <v>5</v>
      </c>
      <c r="AT56" s="41">
        <v>5</v>
      </c>
      <c r="AU56" s="41">
        <v>5</v>
      </c>
      <c r="AV56" s="41">
        <v>5</v>
      </c>
      <c r="AW56" s="41">
        <v>5</v>
      </c>
      <c r="AX56" s="34">
        <v>10</v>
      </c>
      <c r="AY56" s="34">
        <f t="shared" si="20"/>
        <v>35</v>
      </c>
      <c r="AZ56" s="34" t="s">
        <v>276</v>
      </c>
      <c r="BA56" s="41">
        <v>5</v>
      </c>
      <c r="BB56" s="41">
        <v>5</v>
      </c>
      <c r="BC56" s="41">
        <v>5</v>
      </c>
      <c r="BD56" s="41">
        <v>5</v>
      </c>
      <c r="BE56" s="41">
        <v>5</v>
      </c>
      <c r="BF56" s="36">
        <v>10</v>
      </c>
      <c r="BG56" s="36">
        <f t="shared" si="24"/>
        <v>35</v>
      </c>
      <c r="BH56" s="45" t="s">
        <v>276</v>
      </c>
      <c r="BI56" s="41">
        <v>5</v>
      </c>
      <c r="BJ56" s="41">
        <v>5</v>
      </c>
      <c r="BK56" s="41">
        <v>5</v>
      </c>
      <c r="BL56" s="41">
        <v>5</v>
      </c>
      <c r="BM56" s="49">
        <v>5</v>
      </c>
      <c r="BN56" s="36">
        <v>10</v>
      </c>
      <c r="BO56" s="50">
        <f t="shared" si="25"/>
        <v>35</v>
      </c>
      <c r="BP56" s="46" t="s">
        <v>276</v>
      </c>
      <c r="BQ56" s="47">
        <v>5</v>
      </c>
      <c r="BR56" s="77">
        <v>5</v>
      </c>
      <c r="BS56" s="47">
        <v>5</v>
      </c>
      <c r="BT56" s="47">
        <v>5</v>
      </c>
      <c r="BU56" s="47">
        <v>5</v>
      </c>
      <c r="BV56" s="47">
        <v>5</v>
      </c>
      <c r="BW56" s="36">
        <f t="shared" si="26"/>
        <v>30</v>
      </c>
      <c r="BX56" s="36">
        <v>20</v>
      </c>
      <c r="BY56" s="36">
        <f>AY56+BG56+BO56+BW56+BX56</f>
        <v>155</v>
      </c>
      <c r="BZ56" s="46" t="s">
        <v>277</v>
      </c>
      <c r="CA56" s="47">
        <v>5</v>
      </c>
      <c r="CB56" s="47">
        <v>5</v>
      </c>
      <c r="CC56" s="47">
        <v>5</v>
      </c>
      <c r="CD56" s="47">
        <v>5</v>
      </c>
      <c r="CE56" s="47">
        <v>5</v>
      </c>
      <c r="CF56" s="34"/>
      <c r="CG56" s="34"/>
      <c r="CH56" s="35"/>
    </row>
    <row r="57" spans="1:86" ht="13">
      <c r="A57" s="36">
        <v>54</v>
      </c>
      <c r="B57" s="37" t="s">
        <v>408</v>
      </c>
      <c r="C57" s="36">
        <v>5</v>
      </c>
      <c r="E57" s="36" t="s">
        <v>290</v>
      </c>
      <c r="F57" s="36" t="s">
        <v>395</v>
      </c>
      <c r="G57" s="36" t="s">
        <v>409</v>
      </c>
      <c r="H57" s="39" t="s">
        <v>410</v>
      </c>
      <c r="I57" s="40" t="s">
        <v>302</v>
      </c>
      <c r="J57" s="40">
        <f t="shared" si="17"/>
        <v>280</v>
      </c>
      <c r="K57" s="41">
        <v>5</v>
      </c>
      <c r="L57" s="41">
        <v>5</v>
      </c>
      <c r="M57" s="41">
        <v>5</v>
      </c>
      <c r="N57" s="41">
        <v>5</v>
      </c>
      <c r="O57" s="41">
        <v>5</v>
      </c>
      <c r="P57" s="41">
        <v>10</v>
      </c>
      <c r="Q57" s="43">
        <f t="shared" si="18"/>
        <v>35</v>
      </c>
      <c r="R57" s="34" t="s">
        <v>276</v>
      </c>
      <c r="S57" s="41">
        <v>5</v>
      </c>
      <c r="T57" s="41">
        <v>5</v>
      </c>
      <c r="U57" s="41">
        <v>5</v>
      </c>
      <c r="V57" s="41">
        <v>5</v>
      </c>
      <c r="W57" s="41">
        <v>5</v>
      </c>
      <c r="X57" s="36">
        <v>10</v>
      </c>
      <c r="Y57" s="36">
        <f t="shared" si="21"/>
        <v>35</v>
      </c>
      <c r="Z57" s="46" t="s">
        <v>276</v>
      </c>
      <c r="AA57" s="41">
        <v>5</v>
      </c>
      <c r="AB57" s="41">
        <v>5</v>
      </c>
      <c r="AC57" s="41">
        <v>5</v>
      </c>
      <c r="AD57" s="41">
        <v>5</v>
      </c>
      <c r="AE57" s="41">
        <v>5</v>
      </c>
      <c r="AF57" s="34">
        <v>10</v>
      </c>
      <c r="AG57" s="36">
        <f t="shared" si="22"/>
        <v>35</v>
      </c>
      <c r="AH57" s="34" t="s">
        <v>276</v>
      </c>
      <c r="AI57" s="56">
        <v>5</v>
      </c>
      <c r="AJ57" s="56">
        <v>5</v>
      </c>
      <c r="AK57" s="56">
        <v>5</v>
      </c>
      <c r="AL57" s="41">
        <v>5</v>
      </c>
      <c r="AM57" s="56">
        <v>5</v>
      </c>
      <c r="AN57" s="34">
        <v>10</v>
      </c>
      <c r="AO57" s="48">
        <f t="shared" si="23"/>
        <v>35</v>
      </c>
      <c r="AP57" s="34" t="s">
        <v>276</v>
      </c>
      <c r="AQ57" s="34">
        <v>20</v>
      </c>
      <c r="AR57" s="35">
        <f t="shared" si="19"/>
        <v>160</v>
      </c>
      <c r="AS57" s="41">
        <v>5</v>
      </c>
      <c r="AT57" s="41">
        <v>5</v>
      </c>
      <c r="AU57" s="41">
        <v>5</v>
      </c>
      <c r="AV57" s="41">
        <v>5</v>
      </c>
      <c r="AW57" s="41">
        <v>5</v>
      </c>
      <c r="AX57" s="34">
        <v>10</v>
      </c>
      <c r="AY57" s="34">
        <f t="shared" si="20"/>
        <v>35</v>
      </c>
      <c r="AZ57" s="34" t="s">
        <v>276</v>
      </c>
      <c r="BA57" s="41">
        <v>5</v>
      </c>
      <c r="BB57" s="41" t="s">
        <v>314</v>
      </c>
      <c r="BC57" s="41">
        <v>5</v>
      </c>
      <c r="BD57" s="41">
        <v>5</v>
      </c>
      <c r="BE57" s="41">
        <v>5</v>
      </c>
      <c r="BF57" s="34"/>
      <c r="BG57" s="36">
        <f t="shared" si="24"/>
        <v>20</v>
      </c>
      <c r="BH57" s="35"/>
      <c r="BI57" s="41">
        <v>5</v>
      </c>
      <c r="BJ57" s="41">
        <v>5</v>
      </c>
      <c r="BK57" s="41">
        <v>5</v>
      </c>
      <c r="BL57" s="41">
        <v>5</v>
      </c>
      <c r="BM57" s="49">
        <v>5</v>
      </c>
      <c r="BN57" s="36">
        <v>10</v>
      </c>
      <c r="BO57" s="50">
        <f t="shared" si="25"/>
        <v>35</v>
      </c>
      <c r="BP57" s="46" t="s">
        <v>276</v>
      </c>
      <c r="BQ57" s="47">
        <v>5</v>
      </c>
      <c r="BR57" s="47">
        <v>5</v>
      </c>
      <c r="BS57" s="47">
        <v>5</v>
      </c>
      <c r="BT57" s="47">
        <v>5</v>
      </c>
      <c r="BU57" s="47">
        <v>5</v>
      </c>
      <c r="BV57" s="47">
        <v>5</v>
      </c>
      <c r="BW57" s="36">
        <f t="shared" si="26"/>
        <v>30</v>
      </c>
      <c r="BX57" s="36"/>
      <c r="BY57" s="36">
        <f>AY57+BG57+BO57+BW57</f>
        <v>120</v>
      </c>
      <c r="BZ57" s="35"/>
      <c r="CA57" s="47">
        <v>5</v>
      </c>
      <c r="CB57" s="47">
        <v>5</v>
      </c>
      <c r="CC57" s="47">
        <v>5</v>
      </c>
      <c r="CD57" s="47">
        <v>5</v>
      </c>
      <c r="CE57" s="47">
        <v>5</v>
      </c>
      <c r="CF57" s="34"/>
      <c r="CG57" s="34"/>
      <c r="CH57" s="35"/>
    </row>
    <row r="58" spans="1:86" ht="13">
      <c r="A58" s="36">
        <v>55</v>
      </c>
      <c r="B58" s="37" t="s">
        <v>411</v>
      </c>
      <c r="C58" s="36">
        <v>5</v>
      </c>
      <c r="E58" s="36" t="s">
        <v>309</v>
      </c>
      <c r="F58" s="36" t="s">
        <v>395</v>
      </c>
      <c r="G58" s="36" t="s">
        <v>409</v>
      </c>
      <c r="H58" s="39" t="s">
        <v>412</v>
      </c>
      <c r="I58" s="40" t="s">
        <v>345</v>
      </c>
      <c r="J58" s="40">
        <f t="shared" si="17"/>
        <v>315</v>
      </c>
      <c r="K58" s="41">
        <v>5</v>
      </c>
      <c r="L58" s="41">
        <v>5</v>
      </c>
      <c r="M58" s="41">
        <v>5</v>
      </c>
      <c r="N58" s="41">
        <v>5</v>
      </c>
      <c r="O58" s="41">
        <v>5</v>
      </c>
      <c r="P58" s="41">
        <v>10</v>
      </c>
      <c r="Q58" s="43">
        <f t="shared" si="18"/>
        <v>35</v>
      </c>
      <c r="R58" s="34" t="s">
        <v>276</v>
      </c>
      <c r="S58" s="41">
        <v>5</v>
      </c>
      <c r="T58" s="41">
        <v>5</v>
      </c>
      <c r="U58" s="41">
        <v>5</v>
      </c>
      <c r="V58" s="41">
        <v>5</v>
      </c>
      <c r="W58" s="41">
        <v>5</v>
      </c>
      <c r="X58" s="36">
        <v>10</v>
      </c>
      <c r="Y58" s="36">
        <f t="shared" si="21"/>
        <v>35</v>
      </c>
      <c r="Z58" s="46" t="s">
        <v>276</v>
      </c>
      <c r="AA58" s="41">
        <v>5</v>
      </c>
      <c r="AB58" s="41">
        <v>5</v>
      </c>
      <c r="AC58" s="41">
        <v>5</v>
      </c>
      <c r="AD58" s="41">
        <v>5</v>
      </c>
      <c r="AE58" s="41">
        <v>5</v>
      </c>
      <c r="AF58" s="34">
        <v>10</v>
      </c>
      <c r="AG58" s="36">
        <f t="shared" si="22"/>
        <v>35</v>
      </c>
      <c r="AH58" s="34" t="s">
        <v>276</v>
      </c>
      <c r="AI58" s="56">
        <v>5</v>
      </c>
      <c r="AJ58" s="56">
        <v>5</v>
      </c>
      <c r="AK58" s="56">
        <v>5</v>
      </c>
      <c r="AL58" s="41">
        <v>5</v>
      </c>
      <c r="AM58" s="56">
        <v>5</v>
      </c>
      <c r="AN58" s="34">
        <v>10</v>
      </c>
      <c r="AO58" s="48">
        <f t="shared" si="23"/>
        <v>35</v>
      </c>
      <c r="AP58" s="34" t="s">
        <v>276</v>
      </c>
      <c r="AQ58" s="34">
        <v>20</v>
      </c>
      <c r="AR58" s="35">
        <f t="shared" si="19"/>
        <v>160</v>
      </c>
      <c r="AS58" s="41">
        <v>5</v>
      </c>
      <c r="AT58" s="41">
        <v>5</v>
      </c>
      <c r="AU58" s="41">
        <v>5</v>
      </c>
      <c r="AV58" s="41">
        <v>5</v>
      </c>
      <c r="AW58" s="41">
        <v>5</v>
      </c>
      <c r="AX58" s="34">
        <v>10</v>
      </c>
      <c r="AY58" s="34">
        <f t="shared" si="20"/>
        <v>35</v>
      </c>
      <c r="AZ58" s="34" t="s">
        <v>276</v>
      </c>
      <c r="BA58" s="41">
        <v>5</v>
      </c>
      <c r="BB58" s="41">
        <v>5</v>
      </c>
      <c r="BC58" s="41">
        <v>5</v>
      </c>
      <c r="BD58" s="41">
        <v>5</v>
      </c>
      <c r="BE58" s="41">
        <v>5</v>
      </c>
      <c r="BF58" s="36">
        <v>10</v>
      </c>
      <c r="BG58" s="36">
        <f t="shared" si="24"/>
        <v>35</v>
      </c>
      <c r="BH58" s="45" t="s">
        <v>276</v>
      </c>
      <c r="BI58" s="41">
        <v>5</v>
      </c>
      <c r="BJ58" s="41">
        <v>5</v>
      </c>
      <c r="BK58" s="41">
        <v>5</v>
      </c>
      <c r="BL58" s="41">
        <v>5</v>
      </c>
      <c r="BM58" s="49">
        <v>5</v>
      </c>
      <c r="BN58" s="36">
        <v>10</v>
      </c>
      <c r="BO58" s="50">
        <f t="shared" si="25"/>
        <v>35</v>
      </c>
      <c r="BP58" s="46" t="s">
        <v>276</v>
      </c>
      <c r="BQ58" s="47">
        <v>5</v>
      </c>
      <c r="BR58" s="47">
        <v>5</v>
      </c>
      <c r="BS58" s="47">
        <v>5</v>
      </c>
      <c r="BT58" s="47">
        <v>5</v>
      </c>
      <c r="BU58" s="47">
        <v>5</v>
      </c>
      <c r="BV58" s="47">
        <v>5</v>
      </c>
      <c r="BW58" s="36">
        <f t="shared" si="26"/>
        <v>30</v>
      </c>
      <c r="BX58" s="36">
        <v>20</v>
      </c>
      <c r="BY58" s="36">
        <f>AY58+BG58+BO58+BW58+BX58</f>
        <v>155</v>
      </c>
      <c r="BZ58" s="46" t="s">
        <v>277</v>
      </c>
      <c r="CA58" s="47">
        <v>5</v>
      </c>
      <c r="CB58" s="47">
        <v>5</v>
      </c>
      <c r="CC58" s="47">
        <v>5</v>
      </c>
      <c r="CD58" s="47">
        <v>5</v>
      </c>
      <c r="CE58" s="47">
        <v>5</v>
      </c>
      <c r="CF58" s="34"/>
      <c r="CG58" s="34"/>
      <c r="CH58" s="35"/>
    </row>
    <row r="59" spans="1:86" ht="13">
      <c r="A59" s="36">
        <v>56</v>
      </c>
      <c r="B59" s="37" t="s">
        <v>413</v>
      </c>
      <c r="C59" s="36">
        <v>5</v>
      </c>
      <c r="E59" s="36" t="s">
        <v>271</v>
      </c>
      <c r="F59" s="36" t="s">
        <v>395</v>
      </c>
      <c r="G59" s="36" t="s">
        <v>409</v>
      </c>
      <c r="H59" s="39" t="s">
        <v>414</v>
      </c>
      <c r="I59" s="40" t="s">
        <v>302</v>
      </c>
      <c r="J59" s="40">
        <f t="shared" si="17"/>
        <v>315</v>
      </c>
      <c r="K59" s="41">
        <v>5</v>
      </c>
      <c r="L59" s="41">
        <v>5</v>
      </c>
      <c r="M59" s="41">
        <v>5</v>
      </c>
      <c r="N59" s="41">
        <v>5</v>
      </c>
      <c r="O59" s="41">
        <v>5</v>
      </c>
      <c r="P59" s="41">
        <v>10</v>
      </c>
      <c r="Q59" s="43">
        <f t="shared" si="18"/>
        <v>35</v>
      </c>
      <c r="R59" s="34" t="s">
        <v>276</v>
      </c>
      <c r="S59" s="41">
        <v>5</v>
      </c>
      <c r="T59" s="41">
        <v>5</v>
      </c>
      <c r="U59" s="41">
        <v>5</v>
      </c>
      <c r="V59" s="41">
        <v>5</v>
      </c>
      <c r="W59" s="41">
        <v>5</v>
      </c>
      <c r="X59" s="36">
        <v>10</v>
      </c>
      <c r="Y59" s="36">
        <f t="shared" si="21"/>
        <v>35</v>
      </c>
      <c r="Z59" s="46" t="s">
        <v>276</v>
      </c>
      <c r="AA59" s="41">
        <v>5</v>
      </c>
      <c r="AB59" s="41">
        <v>5</v>
      </c>
      <c r="AC59" s="41">
        <v>5</v>
      </c>
      <c r="AD59" s="41">
        <v>5</v>
      </c>
      <c r="AE59" s="41">
        <v>5</v>
      </c>
      <c r="AF59" s="34">
        <v>10</v>
      </c>
      <c r="AG59" s="36">
        <f t="shared" si="22"/>
        <v>35</v>
      </c>
      <c r="AH59" s="34" t="s">
        <v>276</v>
      </c>
      <c r="AI59" s="56">
        <v>5</v>
      </c>
      <c r="AJ59" s="56">
        <v>5</v>
      </c>
      <c r="AK59" s="56">
        <v>5</v>
      </c>
      <c r="AL59" s="41">
        <v>5</v>
      </c>
      <c r="AM59" s="56">
        <v>5</v>
      </c>
      <c r="AN59" s="34">
        <v>10</v>
      </c>
      <c r="AO59" s="48">
        <f t="shared" si="23"/>
        <v>35</v>
      </c>
      <c r="AP59" s="34" t="s">
        <v>276</v>
      </c>
      <c r="AQ59" s="34">
        <v>20</v>
      </c>
      <c r="AR59" s="35">
        <f t="shared" si="19"/>
        <v>160</v>
      </c>
      <c r="AS59" s="41">
        <v>5</v>
      </c>
      <c r="AT59" s="41">
        <v>5</v>
      </c>
      <c r="AU59" s="41">
        <v>5</v>
      </c>
      <c r="AV59" s="41">
        <v>5</v>
      </c>
      <c r="AW59" s="41">
        <v>5</v>
      </c>
      <c r="AX59" s="34">
        <v>10</v>
      </c>
      <c r="AY59" s="34">
        <f t="shared" si="20"/>
        <v>35</v>
      </c>
      <c r="AZ59" s="34" t="s">
        <v>276</v>
      </c>
      <c r="BA59" s="41">
        <v>5</v>
      </c>
      <c r="BB59" s="41">
        <v>5</v>
      </c>
      <c r="BC59" s="41">
        <v>5</v>
      </c>
      <c r="BD59" s="41">
        <v>5</v>
      </c>
      <c r="BE59" s="41">
        <v>5</v>
      </c>
      <c r="BF59" s="36">
        <v>10</v>
      </c>
      <c r="BG59" s="36">
        <f t="shared" si="24"/>
        <v>35</v>
      </c>
      <c r="BH59" s="45" t="s">
        <v>276</v>
      </c>
      <c r="BI59" s="41">
        <v>5</v>
      </c>
      <c r="BJ59" s="41">
        <v>5</v>
      </c>
      <c r="BK59" s="41">
        <v>5</v>
      </c>
      <c r="BL59" s="41">
        <v>5</v>
      </c>
      <c r="BM59" s="49">
        <v>5</v>
      </c>
      <c r="BN59" s="36">
        <v>10</v>
      </c>
      <c r="BO59" s="50">
        <f t="shared" si="25"/>
        <v>35</v>
      </c>
      <c r="BP59" s="46" t="s">
        <v>276</v>
      </c>
      <c r="BQ59" s="47">
        <v>5</v>
      </c>
      <c r="BR59" s="77">
        <v>5</v>
      </c>
      <c r="BS59" s="47">
        <v>5</v>
      </c>
      <c r="BT59" s="47">
        <v>5</v>
      </c>
      <c r="BU59" s="47">
        <v>5</v>
      </c>
      <c r="BV59" s="47">
        <v>5</v>
      </c>
      <c r="BW59" s="36">
        <f t="shared" si="26"/>
        <v>30</v>
      </c>
      <c r="BX59" s="36">
        <v>20</v>
      </c>
      <c r="BY59" s="36">
        <f>AY59+BG59+BO59+BW59+BX59</f>
        <v>155</v>
      </c>
      <c r="BZ59" s="46" t="s">
        <v>277</v>
      </c>
      <c r="CA59" s="47">
        <v>5</v>
      </c>
      <c r="CB59" s="47">
        <v>5</v>
      </c>
      <c r="CC59" s="47">
        <v>5</v>
      </c>
      <c r="CD59" s="47">
        <v>5</v>
      </c>
      <c r="CE59" s="47">
        <v>5</v>
      </c>
      <c r="CF59" s="34"/>
      <c r="CG59" s="34"/>
      <c r="CH59" s="35"/>
    </row>
    <row r="60" spans="1:86" ht="13">
      <c r="A60" s="36">
        <v>57</v>
      </c>
      <c r="B60" s="37" t="s">
        <v>415</v>
      </c>
      <c r="C60" s="36">
        <v>5</v>
      </c>
      <c r="E60" s="36" t="s">
        <v>318</v>
      </c>
      <c r="F60" s="36" t="s">
        <v>395</v>
      </c>
      <c r="G60" s="36" t="s">
        <v>396</v>
      </c>
      <c r="H60" s="39" t="s">
        <v>416</v>
      </c>
      <c r="I60" s="40" t="s">
        <v>307</v>
      </c>
      <c r="J60" s="40">
        <f t="shared" si="17"/>
        <v>315</v>
      </c>
      <c r="K60" s="41">
        <v>5</v>
      </c>
      <c r="L60" s="41">
        <v>5</v>
      </c>
      <c r="M60" s="41">
        <v>5</v>
      </c>
      <c r="N60" s="41">
        <v>5</v>
      </c>
      <c r="O60" s="41">
        <v>5</v>
      </c>
      <c r="P60" s="41">
        <v>10</v>
      </c>
      <c r="Q60" s="43">
        <f t="shared" si="18"/>
        <v>35</v>
      </c>
      <c r="R60" s="34" t="s">
        <v>276</v>
      </c>
      <c r="S60" s="41">
        <v>5</v>
      </c>
      <c r="T60" s="41">
        <v>5</v>
      </c>
      <c r="U60" s="41">
        <v>5</v>
      </c>
      <c r="V60" s="41">
        <v>5</v>
      </c>
      <c r="W60" s="41">
        <v>5</v>
      </c>
      <c r="X60" s="36">
        <v>10</v>
      </c>
      <c r="Y60" s="36">
        <f t="shared" si="21"/>
        <v>35</v>
      </c>
      <c r="Z60" s="46" t="s">
        <v>276</v>
      </c>
      <c r="AA60" s="41">
        <v>5</v>
      </c>
      <c r="AB60" s="41">
        <v>5</v>
      </c>
      <c r="AC60" s="41">
        <v>5</v>
      </c>
      <c r="AD60" s="41">
        <v>5</v>
      </c>
      <c r="AE60" s="41">
        <v>5</v>
      </c>
      <c r="AF60" s="34">
        <v>10</v>
      </c>
      <c r="AG60" s="36">
        <f t="shared" si="22"/>
        <v>35</v>
      </c>
      <c r="AH60" s="34" t="s">
        <v>276</v>
      </c>
      <c r="AI60" s="56">
        <v>5</v>
      </c>
      <c r="AJ60" s="56">
        <v>5</v>
      </c>
      <c r="AK60" s="56">
        <v>5</v>
      </c>
      <c r="AL60" s="41">
        <v>5</v>
      </c>
      <c r="AM60" s="56">
        <v>5</v>
      </c>
      <c r="AN60" s="34">
        <v>10</v>
      </c>
      <c r="AO60" s="48">
        <f t="shared" si="23"/>
        <v>35</v>
      </c>
      <c r="AP60" s="34" t="s">
        <v>276</v>
      </c>
      <c r="AQ60" s="34">
        <v>20</v>
      </c>
      <c r="AR60" s="35">
        <f t="shared" si="19"/>
        <v>160</v>
      </c>
      <c r="AS60" s="41">
        <v>5</v>
      </c>
      <c r="AT60" s="41">
        <v>5</v>
      </c>
      <c r="AU60" s="41">
        <v>5</v>
      </c>
      <c r="AV60" s="41">
        <v>5</v>
      </c>
      <c r="AW60" s="41">
        <v>5</v>
      </c>
      <c r="AX60" s="34">
        <v>10</v>
      </c>
      <c r="AY60" s="34">
        <f t="shared" si="20"/>
        <v>35</v>
      </c>
      <c r="AZ60" s="34" t="s">
        <v>276</v>
      </c>
      <c r="BA60" s="41">
        <v>5</v>
      </c>
      <c r="BB60" s="41">
        <v>5</v>
      </c>
      <c r="BC60" s="41">
        <v>5</v>
      </c>
      <c r="BD60" s="41">
        <v>5</v>
      </c>
      <c r="BE60" s="41">
        <v>5</v>
      </c>
      <c r="BF60" s="36">
        <v>10</v>
      </c>
      <c r="BG60" s="36">
        <f t="shared" si="24"/>
        <v>35</v>
      </c>
      <c r="BH60" s="45" t="s">
        <v>276</v>
      </c>
      <c r="BI60" s="41">
        <v>5</v>
      </c>
      <c r="BJ60" s="41">
        <v>5</v>
      </c>
      <c r="BK60" s="41">
        <v>5</v>
      </c>
      <c r="BL60" s="41">
        <v>5</v>
      </c>
      <c r="BM60" s="49">
        <v>5</v>
      </c>
      <c r="BN60" s="36">
        <v>10</v>
      </c>
      <c r="BO60" s="50">
        <f t="shared" si="25"/>
        <v>35</v>
      </c>
      <c r="BP60" s="46" t="s">
        <v>276</v>
      </c>
      <c r="BQ60" s="47">
        <v>5</v>
      </c>
      <c r="BR60" s="47">
        <v>5</v>
      </c>
      <c r="BS60" s="47">
        <v>5</v>
      </c>
      <c r="BT60" s="47">
        <v>5</v>
      </c>
      <c r="BU60" s="47">
        <v>5</v>
      </c>
      <c r="BV60" s="47">
        <v>5</v>
      </c>
      <c r="BW60" s="36">
        <f t="shared" si="26"/>
        <v>30</v>
      </c>
      <c r="BX60" s="36">
        <v>20</v>
      </c>
      <c r="BY60" s="36">
        <f>AY60+BG60+BO60+BW60+BX60</f>
        <v>155</v>
      </c>
      <c r="BZ60" s="46" t="s">
        <v>277</v>
      </c>
      <c r="CA60" s="47">
        <v>5</v>
      </c>
      <c r="CB60" s="47">
        <v>5</v>
      </c>
      <c r="CC60" s="47">
        <v>5</v>
      </c>
      <c r="CD60" s="47">
        <v>5</v>
      </c>
      <c r="CE60" s="47">
        <v>5</v>
      </c>
      <c r="CF60" s="34"/>
      <c r="CG60" s="34"/>
      <c r="CH60" s="35"/>
    </row>
    <row r="61" spans="1:86" ht="13">
      <c r="A61" s="36">
        <v>58</v>
      </c>
      <c r="B61" s="37" t="s">
        <v>417</v>
      </c>
      <c r="C61" s="36">
        <v>5</v>
      </c>
      <c r="E61" s="36" t="s">
        <v>294</v>
      </c>
      <c r="F61" s="36" t="s">
        <v>395</v>
      </c>
      <c r="G61" s="36" t="s">
        <v>396</v>
      </c>
      <c r="H61" s="39" t="s">
        <v>416</v>
      </c>
      <c r="I61" s="40" t="s">
        <v>337</v>
      </c>
      <c r="J61" s="40">
        <f t="shared" si="17"/>
        <v>280</v>
      </c>
      <c r="K61" s="41">
        <v>5</v>
      </c>
      <c r="L61" s="41">
        <v>5</v>
      </c>
      <c r="M61" s="41">
        <v>5</v>
      </c>
      <c r="N61" s="41">
        <v>5</v>
      </c>
      <c r="O61" s="41">
        <v>5</v>
      </c>
      <c r="P61" s="41">
        <v>10</v>
      </c>
      <c r="Q61" s="43">
        <f t="shared" si="18"/>
        <v>35</v>
      </c>
      <c r="R61" s="34" t="s">
        <v>276</v>
      </c>
      <c r="S61" s="41">
        <v>5</v>
      </c>
      <c r="T61" s="41">
        <v>5</v>
      </c>
      <c r="U61" s="41">
        <v>5</v>
      </c>
      <c r="V61" s="41">
        <v>5</v>
      </c>
      <c r="W61" s="41">
        <v>5</v>
      </c>
      <c r="X61" s="36">
        <v>10</v>
      </c>
      <c r="Y61" s="36">
        <f t="shared" si="21"/>
        <v>35</v>
      </c>
      <c r="Z61" s="46" t="s">
        <v>276</v>
      </c>
      <c r="AA61" s="41">
        <v>5</v>
      </c>
      <c r="AB61" s="41">
        <v>5</v>
      </c>
      <c r="AC61" s="41">
        <v>5</v>
      </c>
      <c r="AD61" s="41">
        <v>5</v>
      </c>
      <c r="AE61" s="41">
        <v>5</v>
      </c>
      <c r="AF61" s="34">
        <v>10</v>
      </c>
      <c r="AG61" s="36">
        <f t="shared" si="22"/>
        <v>35</v>
      </c>
      <c r="AH61" s="34" t="s">
        <v>276</v>
      </c>
      <c r="AI61" s="56" t="s">
        <v>314</v>
      </c>
      <c r="AJ61" s="56">
        <v>5</v>
      </c>
      <c r="AK61" s="56">
        <v>5</v>
      </c>
      <c r="AL61" s="41">
        <v>5</v>
      </c>
      <c r="AM61" s="56">
        <v>5</v>
      </c>
      <c r="AN61" s="35"/>
      <c r="AO61" s="48">
        <f t="shared" si="23"/>
        <v>20</v>
      </c>
      <c r="AP61" s="34"/>
      <c r="AQ61" s="51"/>
      <c r="AR61" s="35">
        <f t="shared" si="19"/>
        <v>125</v>
      </c>
      <c r="AS61" s="41">
        <v>5</v>
      </c>
      <c r="AT61" s="41">
        <v>5</v>
      </c>
      <c r="AU61" s="41">
        <v>5</v>
      </c>
      <c r="AV61" s="41">
        <v>5</v>
      </c>
      <c r="AW61" s="41">
        <v>5</v>
      </c>
      <c r="AX61" s="34">
        <v>10</v>
      </c>
      <c r="AY61" s="34">
        <f t="shared" si="20"/>
        <v>35</v>
      </c>
      <c r="AZ61" s="34" t="s">
        <v>276</v>
      </c>
      <c r="BA61" s="41">
        <v>5</v>
      </c>
      <c r="BB61" s="41">
        <v>5</v>
      </c>
      <c r="BC61" s="41">
        <v>5</v>
      </c>
      <c r="BD61" s="41">
        <v>5</v>
      </c>
      <c r="BE61" s="41">
        <v>5</v>
      </c>
      <c r="BF61" s="36">
        <v>10</v>
      </c>
      <c r="BG61" s="36">
        <f t="shared" si="24"/>
        <v>35</v>
      </c>
      <c r="BH61" s="45" t="s">
        <v>276</v>
      </c>
      <c r="BI61" s="41">
        <v>5</v>
      </c>
      <c r="BJ61" s="41">
        <v>5</v>
      </c>
      <c r="BK61" s="41">
        <v>5</v>
      </c>
      <c r="BL61" s="41">
        <v>5</v>
      </c>
      <c r="BM61" s="49">
        <v>5</v>
      </c>
      <c r="BN61" s="36">
        <v>10</v>
      </c>
      <c r="BO61" s="50">
        <f t="shared" si="25"/>
        <v>35</v>
      </c>
      <c r="BP61" s="46" t="s">
        <v>276</v>
      </c>
      <c r="BQ61" s="47">
        <v>5</v>
      </c>
      <c r="BR61" s="47">
        <v>5</v>
      </c>
      <c r="BS61" s="47">
        <v>5</v>
      </c>
      <c r="BT61" s="47">
        <v>5</v>
      </c>
      <c r="BU61" s="47">
        <v>5</v>
      </c>
      <c r="BV61" s="47">
        <v>5</v>
      </c>
      <c r="BW61" s="36">
        <f t="shared" si="26"/>
        <v>30</v>
      </c>
      <c r="BX61" s="36">
        <v>20</v>
      </c>
      <c r="BY61" s="36">
        <f>AY61+BG61+BO61+BW61+BX61</f>
        <v>155</v>
      </c>
      <c r="BZ61" s="46" t="s">
        <v>277</v>
      </c>
      <c r="CA61" s="47">
        <v>5</v>
      </c>
      <c r="CB61" s="47">
        <v>5</v>
      </c>
      <c r="CC61" s="47">
        <v>5</v>
      </c>
      <c r="CD61" s="47">
        <v>5</v>
      </c>
      <c r="CE61" s="47">
        <v>5</v>
      </c>
      <c r="CF61" s="34"/>
      <c r="CG61" s="34"/>
      <c r="CH61" s="35"/>
    </row>
    <row r="62" spans="1:86" ht="13">
      <c r="A62" s="36">
        <v>59</v>
      </c>
      <c r="B62" s="37" t="s">
        <v>418</v>
      </c>
      <c r="C62" s="36">
        <v>5</v>
      </c>
      <c r="E62" s="36" t="s">
        <v>309</v>
      </c>
      <c r="F62" s="36" t="s">
        <v>395</v>
      </c>
      <c r="G62" s="36" t="s">
        <v>396</v>
      </c>
      <c r="H62" s="39" t="s">
        <v>412</v>
      </c>
      <c r="I62" s="40" t="s">
        <v>337</v>
      </c>
      <c r="J62" s="40">
        <f t="shared" si="17"/>
        <v>280</v>
      </c>
      <c r="K62" s="41">
        <v>5</v>
      </c>
      <c r="L62" s="41">
        <v>5</v>
      </c>
      <c r="M62" s="41">
        <v>5</v>
      </c>
      <c r="N62" s="41">
        <v>5</v>
      </c>
      <c r="O62" s="41">
        <v>5</v>
      </c>
      <c r="P62" s="41">
        <v>10</v>
      </c>
      <c r="Q62" s="43">
        <f t="shared" si="18"/>
        <v>35</v>
      </c>
      <c r="R62" s="34" t="s">
        <v>276</v>
      </c>
      <c r="S62" s="41">
        <v>5</v>
      </c>
      <c r="T62" s="41">
        <v>5</v>
      </c>
      <c r="U62" s="41">
        <v>5</v>
      </c>
      <c r="V62" s="41">
        <v>5</v>
      </c>
      <c r="W62" s="41">
        <v>5</v>
      </c>
      <c r="X62" s="36">
        <v>10</v>
      </c>
      <c r="Y62" s="36">
        <f t="shared" si="21"/>
        <v>35</v>
      </c>
      <c r="Z62" s="46" t="s">
        <v>276</v>
      </c>
      <c r="AA62" s="41">
        <v>5</v>
      </c>
      <c r="AB62" s="41">
        <v>5</v>
      </c>
      <c r="AC62" s="41">
        <v>5</v>
      </c>
      <c r="AD62" s="41">
        <v>5</v>
      </c>
      <c r="AE62" s="41">
        <v>5</v>
      </c>
      <c r="AF62" s="34">
        <v>10</v>
      </c>
      <c r="AG62" s="36">
        <f t="shared" si="22"/>
        <v>35</v>
      </c>
      <c r="AH62" s="34" t="s">
        <v>276</v>
      </c>
      <c r="AI62" s="56">
        <v>5</v>
      </c>
      <c r="AJ62" s="56">
        <v>5</v>
      </c>
      <c r="AK62" s="56">
        <v>5</v>
      </c>
      <c r="AL62" s="41">
        <v>5</v>
      </c>
      <c r="AM62" s="56">
        <v>5</v>
      </c>
      <c r="AN62" s="34">
        <v>10</v>
      </c>
      <c r="AO62" s="48">
        <f t="shared" si="23"/>
        <v>35</v>
      </c>
      <c r="AP62" s="34" t="s">
        <v>276</v>
      </c>
      <c r="AQ62" s="34">
        <v>20</v>
      </c>
      <c r="AR62" s="35">
        <f t="shared" si="19"/>
        <v>160</v>
      </c>
      <c r="AS62" s="41">
        <v>5</v>
      </c>
      <c r="AT62" s="41">
        <v>5</v>
      </c>
      <c r="AU62" s="41">
        <v>5</v>
      </c>
      <c r="AV62" s="41">
        <v>5</v>
      </c>
      <c r="AW62" s="41">
        <v>5</v>
      </c>
      <c r="AX62" s="34">
        <v>10</v>
      </c>
      <c r="AY62" s="34">
        <f t="shared" si="20"/>
        <v>35</v>
      </c>
      <c r="AZ62" s="34" t="s">
        <v>276</v>
      </c>
      <c r="BA62" s="41">
        <v>5</v>
      </c>
      <c r="BB62" s="41">
        <v>5</v>
      </c>
      <c r="BC62" s="41">
        <v>5</v>
      </c>
      <c r="BD62" s="41">
        <v>5</v>
      </c>
      <c r="BE62" s="41">
        <v>5</v>
      </c>
      <c r="BF62" s="36">
        <v>10</v>
      </c>
      <c r="BG62" s="36">
        <f t="shared" si="24"/>
        <v>35</v>
      </c>
      <c r="BH62" s="45" t="s">
        <v>276</v>
      </c>
      <c r="BI62" s="41">
        <v>5</v>
      </c>
      <c r="BJ62" s="41" t="s">
        <v>314</v>
      </c>
      <c r="BK62" s="41">
        <v>5</v>
      </c>
      <c r="BL62" s="41">
        <v>5</v>
      </c>
      <c r="BM62" s="41">
        <v>5</v>
      </c>
      <c r="BN62" s="34"/>
      <c r="BO62" s="36">
        <f t="shared" si="25"/>
        <v>20</v>
      </c>
      <c r="BP62" s="34"/>
      <c r="BQ62" s="47">
        <v>5</v>
      </c>
      <c r="BR62" s="47">
        <v>5</v>
      </c>
      <c r="BS62" s="47">
        <v>5</v>
      </c>
      <c r="BT62" s="47">
        <v>5</v>
      </c>
      <c r="BU62" s="47">
        <v>5</v>
      </c>
      <c r="BV62" s="47">
        <v>5</v>
      </c>
      <c r="BW62" s="36">
        <f t="shared" si="26"/>
        <v>30</v>
      </c>
      <c r="BX62" s="36"/>
      <c r="BY62" s="36">
        <f>AY62+BG62+BO62+BW62</f>
        <v>120</v>
      </c>
      <c r="BZ62" s="35"/>
      <c r="CA62" s="47">
        <v>5</v>
      </c>
      <c r="CB62" s="47">
        <v>5</v>
      </c>
      <c r="CC62" s="47">
        <v>5</v>
      </c>
      <c r="CD62" s="47">
        <v>5</v>
      </c>
      <c r="CE62" s="77">
        <v>5</v>
      </c>
      <c r="CF62" s="34"/>
      <c r="CG62" s="34"/>
      <c r="CH62" s="35"/>
    </row>
    <row r="63" spans="1:86" ht="13">
      <c r="A63" s="36">
        <v>60</v>
      </c>
      <c r="B63" s="37" t="s">
        <v>419</v>
      </c>
      <c r="C63" s="36">
        <v>5</v>
      </c>
      <c r="E63" s="36" t="s">
        <v>309</v>
      </c>
      <c r="F63" s="36" t="s">
        <v>395</v>
      </c>
      <c r="G63" s="36" t="s">
        <v>396</v>
      </c>
      <c r="H63" s="39" t="s">
        <v>412</v>
      </c>
      <c r="I63" s="40" t="s">
        <v>330</v>
      </c>
      <c r="J63" s="40">
        <f t="shared" si="17"/>
        <v>270</v>
      </c>
      <c r="K63" s="41" t="s">
        <v>314</v>
      </c>
      <c r="L63" s="41" t="s">
        <v>314</v>
      </c>
      <c r="M63" s="41" t="s">
        <v>314</v>
      </c>
      <c r="N63" s="41">
        <v>5</v>
      </c>
      <c r="O63" s="41">
        <v>5</v>
      </c>
      <c r="P63" s="41"/>
      <c r="Q63" s="43">
        <f t="shared" si="18"/>
        <v>10</v>
      </c>
      <c r="R63" s="34"/>
      <c r="S63" s="41">
        <v>5</v>
      </c>
      <c r="T63" s="41">
        <v>5</v>
      </c>
      <c r="U63" s="41">
        <v>5</v>
      </c>
      <c r="V63" s="41">
        <v>5</v>
      </c>
      <c r="W63" s="41">
        <v>5</v>
      </c>
      <c r="X63" s="36">
        <v>10</v>
      </c>
      <c r="Y63" s="36">
        <f t="shared" si="21"/>
        <v>35</v>
      </c>
      <c r="Z63" s="46" t="s">
        <v>276</v>
      </c>
      <c r="AA63" s="41">
        <v>5</v>
      </c>
      <c r="AB63" s="41">
        <v>5</v>
      </c>
      <c r="AC63" s="41">
        <v>5</v>
      </c>
      <c r="AD63" s="41">
        <v>5</v>
      </c>
      <c r="AE63" s="41">
        <v>5</v>
      </c>
      <c r="AF63" s="34">
        <v>10</v>
      </c>
      <c r="AG63" s="36">
        <f t="shared" si="22"/>
        <v>35</v>
      </c>
      <c r="AH63" s="34" t="s">
        <v>276</v>
      </c>
      <c r="AI63" s="56">
        <v>5</v>
      </c>
      <c r="AJ63" s="56">
        <v>5</v>
      </c>
      <c r="AK63" s="56">
        <v>5</v>
      </c>
      <c r="AL63" s="41">
        <v>5</v>
      </c>
      <c r="AM63" s="56">
        <v>5</v>
      </c>
      <c r="AN63" s="34">
        <v>10</v>
      </c>
      <c r="AO63" s="48">
        <f t="shared" si="23"/>
        <v>35</v>
      </c>
      <c r="AP63" s="34" t="s">
        <v>276</v>
      </c>
      <c r="AQ63" s="51"/>
      <c r="AR63" s="35">
        <f t="shared" si="19"/>
        <v>115</v>
      </c>
      <c r="AS63" s="41">
        <v>5</v>
      </c>
      <c r="AT63" s="41">
        <v>5</v>
      </c>
      <c r="AU63" s="41">
        <v>5</v>
      </c>
      <c r="AV63" s="41">
        <v>5</v>
      </c>
      <c r="AW63" s="41">
        <v>5</v>
      </c>
      <c r="AX63" s="34">
        <v>10</v>
      </c>
      <c r="AY63" s="34">
        <f t="shared" si="20"/>
        <v>35</v>
      </c>
      <c r="AZ63" s="34" t="s">
        <v>276</v>
      </c>
      <c r="BA63" s="41">
        <v>5</v>
      </c>
      <c r="BB63" s="41">
        <v>5</v>
      </c>
      <c r="BC63" s="41">
        <v>5</v>
      </c>
      <c r="BD63" s="41">
        <v>5</v>
      </c>
      <c r="BE63" s="41">
        <v>5</v>
      </c>
      <c r="BF63" s="36">
        <v>10</v>
      </c>
      <c r="BG63" s="36">
        <f t="shared" si="24"/>
        <v>35</v>
      </c>
      <c r="BH63" s="45" t="s">
        <v>276</v>
      </c>
      <c r="BI63" s="41">
        <v>5</v>
      </c>
      <c r="BJ63" s="41">
        <v>5</v>
      </c>
      <c r="BK63" s="41">
        <v>5</v>
      </c>
      <c r="BL63" s="41">
        <v>5</v>
      </c>
      <c r="BM63" s="49">
        <v>5</v>
      </c>
      <c r="BN63" s="36">
        <v>10</v>
      </c>
      <c r="BO63" s="50">
        <f t="shared" si="25"/>
        <v>35</v>
      </c>
      <c r="BP63" s="46" t="s">
        <v>276</v>
      </c>
      <c r="BQ63" s="47">
        <v>5</v>
      </c>
      <c r="BR63" s="47">
        <v>5</v>
      </c>
      <c r="BS63" s="47">
        <v>5</v>
      </c>
      <c r="BT63" s="47">
        <v>5</v>
      </c>
      <c r="BU63" s="47">
        <v>5</v>
      </c>
      <c r="BV63" s="47">
        <v>5</v>
      </c>
      <c r="BW63" s="36">
        <f t="shared" si="26"/>
        <v>30</v>
      </c>
      <c r="BX63" s="36">
        <v>20</v>
      </c>
      <c r="BY63" s="36">
        <f>AY63+BG63+BO63+BW63+BX63</f>
        <v>155</v>
      </c>
      <c r="BZ63" s="46" t="s">
        <v>277</v>
      </c>
      <c r="CA63" s="47">
        <v>5</v>
      </c>
      <c r="CB63" s="47">
        <v>5</v>
      </c>
      <c r="CC63" s="47">
        <v>5</v>
      </c>
      <c r="CD63" s="47">
        <v>5</v>
      </c>
      <c r="CE63" s="47">
        <v>5</v>
      </c>
      <c r="CF63" s="34"/>
      <c r="CG63" s="34"/>
      <c r="CH63" s="35"/>
    </row>
    <row r="64" spans="1:86" ht="13">
      <c r="A64" s="36">
        <v>61</v>
      </c>
      <c r="B64" s="38" t="s">
        <v>420</v>
      </c>
      <c r="C64" s="36">
        <v>6</v>
      </c>
      <c r="D64" s="38" t="s">
        <v>270</v>
      </c>
      <c r="E64" s="36" t="s">
        <v>421</v>
      </c>
      <c r="F64" s="36" t="s">
        <v>395</v>
      </c>
      <c r="G64" s="36" t="s">
        <v>422</v>
      </c>
      <c r="H64" s="39" t="s">
        <v>423</v>
      </c>
      <c r="I64" s="40" t="s">
        <v>307</v>
      </c>
      <c r="J64" s="40">
        <f t="shared" si="17"/>
        <v>315</v>
      </c>
      <c r="K64" s="41">
        <v>5</v>
      </c>
      <c r="L64" s="41">
        <v>5</v>
      </c>
      <c r="M64" s="41">
        <v>5</v>
      </c>
      <c r="N64" s="41">
        <v>5</v>
      </c>
      <c r="O64" s="41">
        <v>5</v>
      </c>
      <c r="P64" s="41">
        <v>10</v>
      </c>
      <c r="Q64" s="43">
        <f t="shared" si="18"/>
        <v>35</v>
      </c>
      <c r="R64" s="34" t="s">
        <v>276</v>
      </c>
      <c r="S64" s="41">
        <v>5</v>
      </c>
      <c r="T64" s="41">
        <v>5</v>
      </c>
      <c r="U64" s="41">
        <v>5</v>
      </c>
      <c r="V64" s="41">
        <v>5</v>
      </c>
      <c r="W64" s="41">
        <v>5</v>
      </c>
      <c r="X64" s="36">
        <v>10</v>
      </c>
      <c r="Y64" s="36">
        <f t="shared" si="21"/>
        <v>35</v>
      </c>
      <c r="Z64" s="46" t="s">
        <v>276</v>
      </c>
      <c r="AA64" s="41">
        <v>5</v>
      </c>
      <c r="AB64" s="41">
        <v>5</v>
      </c>
      <c r="AC64" s="56">
        <v>5</v>
      </c>
      <c r="AD64" s="41">
        <v>5</v>
      </c>
      <c r="AE64" s="41">
        <v>5</v>
      </c>
      <c r="AF64" s="34">
        <v>10</v>
      </c>
      <c r="AG64" s="36">
        <f t="shared" si="22"/>
        <v>35</v>
      </c>
      <c r="AH64" s="34" t="s">
        <v>276</v>
      </c>
      <c r="AI64" s="56">
        <v>5</v>
      </c>
      <c r="AJ64" s="36">
        <v>5</v>
      </c>
      <c r="AK64" s="41">
        <v>5</v>
      </c>
      <c r="AL64" s="41">
        <v>5</v>
      </c>
      <c r="AM64" s="41">
        <v>5</v>
      </c>
      <c r="AN64" s="34">
        <v>10</v>
      </c>
      <c r="AO64" s="48">
        <f t="shared" si="23"/>
        <v>35</v>
      </c>
      <c r="AP64" s="34" t="s">
        <v>276</v>
      </c>
      <c r="AQ64" s="34">
        <v>20</v>
      </c>
      <c r="AR64" s="35">
        <f t="shared" si="19"/>
        <v>160</v>
      </c>
      <c r="AS64" s="41">
        <v>5</v>
      </c>
      <c r="AT64" s="41">
        <v>5</v>
      </c>
      <c r="AU64" s="41">
        <v>5</v>
      </c>
      <c r="AV64" s="41">
        <v>5</v>
      </c>
      <c r="AW64" s="41">
        <v>5</v>
      </c>
      <c r="AX64" s="34">
        <v>10</v>
      </c>
      <c r="AY64" s="34">
        <f t="shared" si="20"/>
        <v>35</v>
      </c>
      <c r="AZ64" s="34" t="s">
        <v>276</v>
      </c>
      <c r="BA64" s="54">
        <v>5</v>
      </c>
      <c r="BB64" s="41">
        <v>5</v>
      </c>
      <c r="BC64" s="41">
        <v>5</v>
      </c>
      <c r="BD64" s="41">
        <v>5</v>
      </c>
      <c r="BE64" s="41">
        <v>5</v>
      </c>
      <c r="BF64" s="36">
        <v>10</v>
      </c>
      <c r="BG64" s="36">
        <f t="shared" si="24"/>
        <v>35</v>
      </c>
      <c r="BH64" s="45" t="s">
        <v>276</v>
      </c>
      <c r="BI64" s="41">
        <v>5</v>
      </c>
      <c r="BJ64" s="36">
        <v>5</v>
      </c>
      <c r="BK64" s="41">
        <v>5</v>
      </c>
      <c r="BL64" s="41">
        <v>5</v>
      </c>
      <c r="BM64" s="40">
        <v>5</v>
      </c>
      <c r="BN64" s="36">
        <v>10</v>
      </c>
      <c r="BO64" s="50">
        <f t="shared" si="25"/>
        <v>35</v>
      </c>
      <c r="BP64" s="46" t="s">
        <v>276</v>
      </c>
      <c r="BQ64" s="47">
        <v>5</v>
      </c>
      <c r="BR64" s="54">
        <v>5</v>
      </c>
      <c r="BS64" s="47">
        <v>5</v>
      </c>
      <c r="BT64" s="47">
        <v>5</v>
      </c>
      <c r="BU64" s="47">
        <v>5</v>
      </c>
      <c r="BV64" s="47">
        <v>5</v>
      </c>
      <c r="BW64" s="36">
        <f t="shared" si="26"/>
        <v>30</v>
      </c>
      <c r="BX64" s="36">
        <v>20</v>
      </c>
      <c r="BY64" s="36">
        <f>AY64+BG64+BO64+BW64+BX64</f>
        <v>155</v>
      </c>
      <c r="BZ64" s="46" t="s">
        <v>277</v>
      </c>
      <c r="CA64" s="47">
        <v>5</v>
      </c>
      <c r="CB64" s="47">
        <v>5</v>
      </c>
      <c r="CC64" s="47">
        <v>5</v>
      </c>
      <c r="CD64" s="47">
        <v>5</v>
      </c>
      <c r="CE64" s="47">
        <v>5</v>
      </c>
      <c r="CF64" s="34"/>
      <c r="CG64" s="34"/>
      <c r="CH64" s="35"/>
    </row>
    <row r="65" spans="1:86" ht="13">
      <c r="A65" s="36">
        <v>62</v>
      </c>
      <c r="B65" s="38" t="s">
        <v>424</v>
      </c>
      <c r="C65" s="36">
        <v>6</v>
      </c>
      <c r="E65" s="36" t="s">
        <v>421</v>
      </c>
      <c r="F65" s="36" t="s">
        <v>395</v>
      </c>
      <c r="G65" s="36" t="s">
        <v>422</v>
      </c>
      <c r="H65" s="39" t="s">
        <v>425</v>
      </c>
      <c r="I65" s="40" t="s">
        <v>297</v>
      </c>
      <c r="J65" s="40">
        <f t="shared" si="17"/>
        <v>280</v>
      </c>
      <c r="K65" s="41">
        <v>5</v>
      </c>
      <c r="L65" s="41">
        <v>5</v>
      </c>
      <c r="M65" s="41">
        <v>5</v>
      </c>
      <c r="N65" s="41">
        <v>5</v>
      </c>
      <c r="O65" s="41">
        <v>5</v>
      </c>
      <c r="P65" s="41">
        <v>10</v>
      </c>
      <c r="Q65" s="43">
        <f t="shared" si="18"/>
        <v>35</v>
      </c>
      <c r="R65" s="34" t="s">
        <v>276</v>
      </c>
      <c r="S65" s="41">
        <v>5</v>
      </c>
      <c r="T65" s="41">
        <v>5</v>
      </c>
      <c r="U65" s="41">
        <v>5</v>
      </c>
      <c r="V65" s="41">
        <v>5</v>
      </c>
      <c r="W65" s="41">
        <v>5</v>
      </c>
      <c r="X65" s="36">
        <v>10</v>
      </c>
      <c r="Y65" s="36">
        <f t="shared" si="21"/>
        <v>35</v>
      </c>
      <c r="Z65" s="46" t="s">
        <v>276</v>
      </c>
      <c r="AA65" s="41">
        <v>5</v>
      </c>
      <c r="AB65" s="41">
        <v>5</v>
      </c>
      <c r="AC65" s="56">
        <v>5</v>
      </c>
      <c r="AD65" s="41">
        <v>5</v>
      </c>
      <c r="AE65" s="41">
        <v>5</v>
      </c>
      <c r="AF65" s="34">
        <v>10</v>
      </c>
      <c r="AG65" s="36">
        <f t="shared" si="22"/>
        <v>35</v>
      </c>
      <c r="AH65" s="34" t="s">
        <v>276</v>
      </c>
      <c r="AI65" s="41">
        <v>5</v>
      </c>
      <c r="AJ65" s="36">
        <v>5</v>
      </c>
      <c r="AK65" s="36">
        <v>5</v>
      </c>
      <c r="AL65" s="41">
        <v>5</v>
      </c>
      <c r="AM65" s="36">
        <v>5</v>
      </c>
      <c r="AN65" s="34">
        <v>10</v>
      </c>
      <c r="AO65" s="48">
        <f t="shared" si="23"/>
        <v>35</v>
      </c>
      <c r="AP65" s="34" t="s">
        <v>276</v>
      </c>
      <c r="AQ65" s="34">
        <v>20</v>
      </c>
      <c r="AR65" s="35">
        <f t="shared" si="19"/>
        <v>160</v>
      </c>
      <c r="AS65" s="36">
        <v>5</v>
      </c>
      <c r="AT65" s="36">
        <v>5</v>
      </c>
      <c r="AU65" s="41">
        <v>5</v>
      </c>
      <c r="AV65" s="41">
        <v>5</v>
      </c>
      <c r="AW65" s="36">
        <v>5</v>
      </c>
      <c r="AX65" s="34">
        <v>10</v>
      </c>
      <c r="AY65" s="34">
        <f t="shared" si="20"/>
        <v>35</v>
      </c>
      <c r="AZ65" s="34" t="s">
        <v>276</v>
      </c>
      <c r="BA65" s="41">
        <v>5</v>
      </c>
      <c r="BB65" s="41">
        <v>5</v>
      </c>
      <c r="BC65" s="41">
        <v>5</v>
      </c>
      <c r="BD65" s="41" t="s">
        <v>314</v>
      </c>
      <c r="BE65" s="41">
        <v>5</v>
      </c>
      <c r="BF65" s="34"/>
      <c r="BG65" s="36">
        <f t="shared" si="24"/>
        <v>20</v>
      </c>
      <c r="BH65" s="35"/>
      <c r="BI65" s="41">
        <v>5</v>
      </c>
      <c r="BJ65" s="41">
        <v>5</v>
      </c>
      <c r="BK65" s="41">
        <v>5</v>
      </c>
      <c r="BL65" s="41">
        <v>5</v>
      </c>
      <c r="BM65" s="40">
        <v>5</v>
      </c>
      <c r="BN65" s="36">
        <v>10</v>
      </c>
      <c r="BO65" s="50">
        <f t="shared" si="25"/>
        <v>35</v>
      </c>
      <c r="BP65" s="46" t="s">
        <v>276</v>
      </c>
      <c r="BQ65" s="47">
        <v>5</v>
      </c>
      <c r="BR65" s="47">
        <v>5</v>
      </c>
      <c r="BS65" s="47">
        <v>5</v>
      </c>
      <c r="BT65" s="47">
        <v>5</v>
      </c>
      <c r="BU65" s="47">
        <v>5</v>
      </c>
      <c r="BV65" s="47">
        <v>5</v>
      </c>
      <c r="BW65" s="36">
        <f t="shared" si="26"/>
        <v>30</v>
      </c>
      <c r="BX65" s="36"/>
      <c r="BY65" s="36">
        <f>AY65+BG65+BO65+BW65</f>
        <v>120</v>
      </c>
      <c r="BZ65" s="35"/>
      <c r="CA65" s="47">
        <v>5</v>
      </c>
      <c r="CB65" s="47">
        <v>5</v>
      </c>
      <c r="CC65" s="47">
        <v>5</v>
      </c>
      <c r="CD65" s="47">
        <v>5</v>
      </c>
      <c r="CE65" s="36"/>
      <c r="CF65" s="34"/>
      <c r="CG65" s="34"/>
      <c r="CH65" s="35"/>
    </row>
    <row r="66" spans="1:86" ht="13">
      <c r="A66" s="36">
        <v>63</v>
      </c>
      <c r="B66" s="38" t="s">
        <v>426</v>
      </c>
      <c r="C66" s="36">
        <v>6</v>
      </c>
      <c r="E66" s="36" t="s">
        <v>421</v>
      </c>
      <c r="F66" s="36" t="s">
        <v>395</v>
      </c>
      <c r="G66" s="36" t="s">
        <v>422</v>
      </c>
      <c r="H66" s="39" t="s">
        <v>425</v>
      </c>
      <c r="I66" s="40" t="s">
        <v>297</v>
      </c>
      <c r="J66" s="40">
        <f t="shared" si="17"/>
        <v>280</v>
      </c>
      <c r="K66" s="41">
        <v>5</v>
      </c>
      <c r="L66" s="41">
        <v>5</v>
      </c>
      <c r="M66" s="41">
        <v>5</v>
      </c>
      <c r="N66" s="41">
        <v>5</v>
      </c>
      <c r="O66" s="41">
        <v>5</v>
      </c>
      <c r="P66" s="41">
        <v>10</v>
      </c>
      <c r="Q66" s="43">
        <f t="shared" si="18"/>
        <v>35</v>
      </c>
      <c r="R66" s="34" t="s">
        <v>276</v>
      </c>
      <c r="S66" s="41">
        <v>5</v>
      </c>
      <c r="T66" s="41">
        <v>5</v>
      </c>
      <c r="U66" s="41">
        <v>5</v>
      </c>
      <c r="V66" s="41">
        <v>5</v>
      </c>
      <c r="W66" s="41">
        <v>5</v>
      </c>
      <c r="X66" s="36">
        <v>10</v>
      </c>
      <c r="Y66" s="36">
        <f t="shared" si="21"/>
        <v>35</v>
      </c>
      <c r="Z66" s="46" t="s">
        <v>276</v>
      </c>
      <c r="AA66" s="41">
        <v>5</v>
      </c>
      <c r="AB66" s="41">
        <v>5</v>
      </c>
      <c r="AC66" s="56">
        <v>5</v>
      </c>
      <c r="AD66" s="41">
        <v>5</v>
      </c>
      <c r="AE66" s="41">
        <v>5</v>
      </c>
      <c r="AF66" s="34">
        <v>10</v>
      </c>
      <c r="AG66" s="36">
        <f t="shared" si="22"/>
        <v>35</v>
      </c>
      <c r="AH66" s="34" t="s">
        <v>276</v>
      </c>
      <c r="AI66" s="41">
        <v>5</v>
      </c>
      <c r="AJ66" s="41">
        <v>5</v>
      </c>
      <c r="AK66" s="41">
        <v>5</v>
      </c>
      <c r="AL66" s="41">
        <v>5</v>
      </c>
      <c r="AM66" s="41" t="s">
        <v>314</v>
      </c>
      <c r="AN66" s="35"/>
      <c r="AO66" s="48">
        <f t="shared" si="23"/>
        <v>20</v>
      </c>
      <c r="AP66" s="34"/>
      <c r="AQ66" s="51"/>
      <c r="AR66" s="35">
        <f t="shared" si="19"/>
        <v>125</v>
      </c>
      <c r="AS66" s="36">
        <v>5</v>
      </c>
      <c r="AT66" s="36">
        <v>5</v>
      </c>
      <c r="AU66" s="41">
        <v>5</v>
      </c>
      <c r="AV66" s="41">
        <v>5</v>
      </c>
      <c r="AW66" s="36">
        <v>5</v>
      </c>
      <c r="AX66" s="34">
        <v>10</v>
      </c>
      <c r="AY66" s="34">
        <f t="shared" si="20"/>
        <v>35</v>
      </c>
      <c r="AZ66" s="34" t="s">
        <v>276</v>
      </c>
      <c r="BA66" s="41">
        <v>5</v>
      </c>
      <c r="BB66" s="41">
        <v>5</v>
      </c>
      <c r="BC66" s="41">
        <v>5</v>
      </c>
      <c r="BD66" s="41">
        <v>5</v>
      </c>
      <c r="BE66" s="41">
        <v>5</v>
      </c>
      <c r="BF66" s="36">
        <v>10</v>
      </c>
      <c r="BG66" s="36">
        <f t="shared" si="24"/>
        <v>35</v>
      </c>
      <c r="BH66" s="45" t="s">
        <v>276</v>
      </c>
      <c r="BI66" s="41">
        <v>5</v>
      </c>
      <c r="BJ66" s="41">
        <v>5</v>
      </c>
      <c r="BK66" s="41">
        <v>5</v>
      </c>
      <c r="BL66" s="41">
        <v>5</v>
      </c>
      <c r="BM66" s="40">
        <v>5</v>
      </c>
      <c r="BN66" s="36">
        <v>10</v>
      </c>
      <c r="BO66" s="50">
        <f t="shared" si="25"/>
        <v>35</v>
      </c>
      <c r="BP66" s="46" t="s">
        <v>276</v>
      </c>
      <c r="BQ66" s="47">
        <v>5</v>
      </c>
      <c r="BR66" s="47">
        <v>5</v>
      </c>
      <c r="BS66" s="47">
        <v>5</v>
      </c>
      <c r="BT66" s="47">
        <v>5</v>
      </c>
      <c r="BU66" s="47">
        <v>5</v>
      </c>
      <c r="BV66" s="47">
        <v>5</v>
      </c>
      <c r="BW66" s="36">
        <f t="shared" si="26"/>
        <v>30</v>
      </c>
      <c r="BX66" s="36">
        <v>20</v>
      </c>
      <c r="BY66" s="36">
        <f>AY66+BG66+BO66+BW66+BX66</f>
        <v>155</v>
      </c>
      <c r="BZ66" s="46" t="s">
        <v>277</v>
      </c>
      <c r="CA66" s="47">
        <v>5</v>
      </c>
      <c r="CB66" s="47">
        <v>5</v>
      </c>
      <c r="CC66" s="47">
        <v>5</v>
      </c>
      <c r="CD66" s="47">
        <v>5</v>
      </c>
      <c r="CE66" s="36"/>
      <c r="CF66" s="34"/>
      <c r="CG66" s="34"/>
      <c r="CH66" s="35"/>
    </row>
    <row r="67" spans="1:86" ht="13">
      <c r="A67" s="36">
        <v>64</v>
      </c>
      <c r="B67" s="38" t="s">
        <v>427</v>
      </c>
      <c r="C67" s="36">
        <v>6</v>
      </c>
      <c r="E67" s="36" t="s">
        <v>428</v>
      </c>
      <c r="F67" s="36" t="s">
        <v>395</v>
      </c>
      <c r="G67" s="36" t="s">
        <v>422</v>
      </c>
      <c r="H67" s="39" t="s">
        <v>423</v>
      </c>
      <c r="I67" s="40" t="s">
        <v>337</v>
      </c>
      <c r="J67" s="40">
        <f t="shared" si="17"/>
        <v>315</v>
      </c>
      <c r="K67" s="41">
        <v>5</v>
      </c>
      <c r="L67" s="41">
        <v>5</v>
      </c>
      <c r="M67" s="41">
        <v>5</v>
      </c>
      <c r="N67" s="41">
        <v>5</v>
      </c>
      <c r="O67" s="41">
        <v>5</v>
      </c>
      <c r="P67" s="41">
        <v>10</v>
      </c>
      <c r="Q67" s="43">
        <f t="shared" si="18"/>
        <v>35</v>
      </c>
      <c r="R67" s="34" t="s">
        <v>276</v>
      </c>
      <c r="S67" s="41">
        <v>5</v>
      </c>
      <c r="T67" s="41">
        <v>5</v>
      </c>
      <c r="U67" s="41">
        <v>5</v>
      </c>
      <c r="V67" s="41">
        <v>5</v>
      </c>
      <c r="W67" s="41">
        <v>5</v>
      </c>
      <c r="X67" s="36">
        <v>10</v>
      </c>
      <c r="Y67" s="36">
        <f t="shared" si="21"/>
        <v>35</v>
      </c>
      <c r="Z67" s="46" t="s">
        <v>276</v>
      </c>
      <c r="AA67" s="41">
        <v>5</v>
      </c>
      <c r="AB67" s="41">
        <v>5</v>
      </c>
      <c r="AC67" s="56">
        <v>5</v>
      </c>
      <c r="AD67" s="41">
        <v>5</v>
      </c>
      <c r="AE67" s="41">
        <v>5</v>
      </c>
      <c r="AF67" s="34">
        <v>10</v>
      </c>
      <c r="AG67" s="36">
        <f t="shared" si="22"/>
        <v>35</v>
      </c>
      <c r="AH67" s="34" t="s">
        <v>276</v>
      </c>
      <c r="AI67" s="41">
        <v>5</v>
      </c>
      <c r="AJ67" s="36">
        <v>5</v>
      </c>
      <c r="AK67" s="36">
        <v>5</v>
      </c>
      <c r="AL67" s="41">
        <v>5</v>
      </c>
      <c r="AM67" s="36">
        <v>5</v>
      </c>
      <c r="AN67" s="34">
        <v>10</v>
      </c>
      <c r="AO67" s="48">
        <f t="shared" si="23"/>
        <v>35</v>
      </c>
      <c r="AP67" s="34" t="s">
        <v>276</v>
      </c>
      <c r="AQ67" s="34">
        <v>20</v>
      </c>
      <c r="AR67" s="35">
        <f t="shared" si="19"/>
        <v>160</v>
      </c>
      <c r="AS67" s="36">
        <v>5</v>
      </c>
      <c r="AT67" s="36">
        <v>5</v>
      </c>
      <c r="AU67" s="41">
        <v>5</v>
      </c>
      <c r="AV67" s="41">
        <v>5</v>
      </c>
      <c r="AW67" s="36">
        <v>5</v>
      </c>
      <c r="AX67" s="34">
        <v>10</v>
      </c>
      <c r="AY67" s="34">
        <f t="shared" si="20"/>
        <v>35</v>
      </c>
      <c r="AZ67" s="34" t="s">
        <v>276</v>
      </c>
      <c r="BA67" s="41">
        <v>5</v>
      </c>
      <c r="BB67" s="41">
        <v>5</v>
      </c>
      <c r="BC67" s="41">
        <v>5</v>
      </c>
      <c r="BD67" s="41">
        <v>5</v>
      </c>
      <c r="BE67" s="41">
        <v>5</v>
      </c>
      <c r="BF67" s="36">
        <v>10</v>
      </c>
      <c r="BG67" s="36">
        <f t="shared" si="24"/>
        <v>35</v>
      </c>
      <c r="BH67" s="45" t="s">
        <v>276</v>
      </c>
      <c r="BI67" s="41">
        <v>5</v>
      </c>
      <c r="BJ67" s="41">
        <v>5</v>
      </c>
      <c r="BK67" s="41">
        <v>5</v>
      </c>
      <c r="BL67" s="41">
        <v>5</v>
      </c>
      <c r="BM67" s="49">
        <v>5</v>
      </c>
      <c r="BN67" s="36">
        <v>10</v>
      </c>
      <c r="BO67" s="50">
        <f t="shared" si="25"/>
        <v>35</v>
      </c>
      <c r="BP67" s="46" t="s">
        <v>276</v>
      </c>
      <c r="BQ67" s="47">
        <v>5</v>
      </c>
      <c r="BR67" s="47">
        <v>5</v>
      </c>
      <c r="BS67" s="47">
        <v>5</v>
      </c>
      <c r="BT67" s="47">
        <v>5</v>
      </c>
      <c r="BU67" s="47">
        <v>5</v>
      </c>
      <c r="BV67" s="47">
        <v>5</v>
      </c>
      <c r="BW67" s="36">
        <f t="shared" si="26"/>
        <v>30</v>
      </c>
      <c r="BX67" s="36">
        <v>20</v>
      </c>
      <c r="BY67" s="36">
        <f>AY67+BG67+BO67+BW67+BX67</f>
        <v>155</v>
      </c>
      <c r="BZ67" s="46" t="s">
        <v>277</v>
      </c>
      <c r="CA67" s="47">
        <v>5</v>
      </c>
      <c r="CB67" s="47">
        <v>5</v>
      </c>
      <c r="CC67" s="47">
        <v>5</v>
      </c>
      <c r="CD67" s="47">
        <v>5</v>
      </c>
      <c r="CE67" s="36"/>
      <c r="CF67" s="34"/>
      <c r="CG67" s="34"/>
      <c r="CH67" s="35"/>
    </row>
    <row r="68" spans="1:86" ht="13">
      <c r="A68" s="36">
        <v>65</v>
      </c>
      <c r="B68" s="38" t="s">
        <v>429</v>
      </c>
      <c r="C68" s="36">
        <v>6</v>
      </c>
      <c r="E68" s="36" t="s">
        <v>430</v>
      </c>
      <c r="F68" s="36" t="s">
        <v>395</v>
      </c>
      <c r="G68" s="36" t="s">
        <v>422</v>
      </c>
      <c r="H68" s="39" t="s">
        <v>423</v>
      </c>
      <c r="I68" s="40" t="s">
        <v>297</v>
      </c>
      <c r="J68" s="40">
        <f t="shared" ref="J68:J89" si="28">AR68+BY68</f>
        <v>315</v>
      </c>
      <c r="K68" s="41">
        <v>5</v>
      </c>
      <c r="L68" s="41">
        <v>5</v>
      </c>
      <c r="M68" s="41">
        <v>5</v>
      </c>
      <c r="N68" s="41">
        <v>5</v>
      </c>
      <c r="O68" s="41">
        <v>5</v>
      </c>
      <c r="P68" s="41">
        <v>10</v>
      </c>
      <c r="Q68" s="43">
        <f t="shared" ref="Q68:Q99" si="29">SUM(K68:P68)</f>
        <v>35</v>
      </c>
      <c r="R68" s="34" t="s">
        <v>276</v>
      </c>
      <c r="S68" s="41">
        <v>5</v>
      </c>
      <c r="T68" s="41">
        <v>5</v>
      </c>
      <c r="U68" s="41">
        <v>5</v>
      </c>
      <c r="V68" s="41">
        <v>5</v>
      </c>
      <c r="W68" s="41">
        <v>5</v>
      </c>
      <c r="X68" s="36">
        <v>10</v>
      </c>
      <c r="Y68" s="36">
        <f t="shared" si="21"/>
        <v>35</v>
      </c>
      <c r="Z68" s="46" t="s">
        <v>276</v>
      </c>
      <c r="AA68" s="41">
        <v>5</v>
      </c>
      <c r="AB68" s="41">
        <v>5</v>
      </c>
      <c r="AC68" s="56">
        <v>5</v>
      </c>
      <c r="AD68" s="41">
        <v>5</v>
      </c>
      <c r="AE68" s="41">
        <v>5</v>
      </c>
      <c r="AF68" s="34">
        <v>10</v>
      </c>
      <c r="AG68" s="36">
        <f t="shared" si="22"/>
        <v>35</v>
      </c>
      <c r="AH68" s="34" t="s">
        <v>276</v>
      </c>
      <c r="AI68" s="41">
        <v>5</v>
      </c>
      <c r="AJ68" s="36">
        <v>5</v>
      </c>
      <c r="AK68" s="36">
        <v>5</v>
      </c>
      <c r="AL68" s="41">
        <v>5</v>
      </c>
      <c r="AM68" s="36">
        <v>5</v>
      </c>
      <c r="AN68" s="34">
        <v>10</v>
      </c>
      <c r="AO68" s="48">
        <f t="shared" si="23"/>
        <v>35</v>
      </c>
      <c r="AP68" s="34" t="s">
        <v>276</v>
      </c>
      <c r="AQ68" s="34">
        <v>20</v>
      </c>
      <c r="AR68" s="35">
        <f t="shared" ref="AR68:AR99" si="30">Q68+Y68+AG68+AO68+AQ68</f>
        <v>160</v>
      </c>
      <c r="AS68" s="36">
        <v>5</v>
      </c>
      <c r="AT68" s="36">
        <v>5</v>
      </c>
      <c r="AU68" s="41">
        <v>5</v>
      </c>
      <c r="AV68" s="41">
        <v>5</v>
      </c>
      <c r="AW68" s="36">
        <v>5</v>
      </c>
      <c r="AX68" s="34">
        <v>10</v>
      </c>
      <c r="AY68" s="34">
        <f t="shared" ref="AY68:AY99" si="31">SUM(AS68:AX68)</f>
        <v>35</v>
      </c>
      <c r="AZ68" s="34" t="s">
        <v>276</v>
      </c>
      <c r="BA68" s="41">
        <v>5</v>
      </c>
      <c r="BB68" s="41">
        <v>5</v>
      </c>
      <c r="BC68" s="41">
        <v>5</v>
      </c>
      <c r="BD68" s="41">
        <v>5</v>
      </c>
      <c r="BE68" s="41">
        <v>5</v>
      </c>
      <c r="BF68" s="36">
        <v>10</v>
      </c>
      <c r="BG68" s="36">
        <f t="shared" si="24"/>
        <v>35</v>
      </c>
      <c r="BH68" s="45" t="s">
        <v>276</v>
      </c>
      <c r="BI68" s="41">
        <v>5</v>
      </c>
      <c r="BJ68" s="41">
        <v>5</v>
      </c>
      <c r="BK68" s="41">
        <v>5</v>
      </c>
      <c r="BL68" s="41">
        <v>5</v>
      </c>
      <c r="BM68" s="40">
        <v>5</v>
      </c>
      <c r="BN68" s="36">
        <v>10</v>
      </c>
      <c r="BO68" s="50">
        <f t="shared" si="25"/>
        <v>35</v>
      </c>
      <c r="BP68" s="46" t="s">
        <v>276</v>
      </c>
      <c r="BQ68" s="47">
        <v>5</v>
      </c>
      <c r="BR68" s="47">
        <v>5</v>
      </c>
      <c r="BS68" s="47">
        <v>5</v>
      </c>
      <c r="BT68" s="47">
        <v>5</v>
      </c>
      <c r="BU68" s="47">
        <v>5</v>
      </c>
      <c r="BV68" s="47">
        <v>5</v>
      </c>
      <c r="BW68" s="36">
        <f t="shared" si="26"/>
        <v>30</v>
      </c>
      <c r="BX68" s="36">
        <v>20</v>
      </c>
      <c r="BY68" s="36">
        <f>AY68+BG68+BO68+BW68+BX68</f>
        <v>155</v>
      </c>
      <c r="BZ68" s="46" t="s">
        <v>277</v>
      </c>
      <c r="CA68" s="47">
        <v>5</v>
      </c>
      <c r="CB68" s="47">
        <v>5</v>
      </c>
      <c r="CC68" s="47">
        <v>5</v>
      </c>
      <c r="CD68" s="47">
        <v>5</v>
      </c>
      <c r="CE68" s="36"/>
      <c r="CF68" s="34"/>
      <c r="CG68" s="34"/>
      <c r="CH68" s="35"/>
    </row>
    <row r="69" spans="1:86" ht="13">
      <c r="A69" s="36">
        <v>66</v>
      </c>
      <c r="B69" s="38" t="s">
        <v>431</v>
      </c>
      <c r="C69" s="36">
        <v>6</v>
      </c>
      <c r="E69" s="36" t="s">
        <v>430</v>
      </c>
      <c r="F69" s="36" t="s">
        <v>395</v>
      </c>
      <c r="G69" s="36" t="s">
        <v>422</v>
      </c>
      <c r="H69" s="39" t="s">
        <v>432</v>
      </c>
      <c r="I69" s="40" t="s">
        <v>330</v>
      </c>
      <c r="J69" s="40">
        <f t="shared" si="28"/>
        <v>280</v>
      </c>
      <c r="K69" s="41">
        <v>5</v>
      </c>
      <c r="L69" s="41">
        <v>5</v>
      </c>
      <c r="M69" s="41">
        <v>5</v>
      </c>
      <c r="N69" s="41">
        <v>5</v>
      </c>
      <c r="O69" s="41">
        <v>5</v>
      </c>
      <c r="P69" s="41">
        <v>10</v>
      </c>
      <c r="Q69" s="43">
        <f t="shared" si="29"/>
        <v>35</v>
      </c>
      <c r="R69" s="34" t="s">
        <v>276</v>
      </c>
      <c r="S69" s="41">
        <v>5</v>
      </c>
      <c r="T69" s="41">
        <v>5</v>
      </c>
      <c r="U69" s="41">
        <v>5</v>
      </c>
      <c r="V69" s="41">
        <v>5</v>
      </c>
      <c r="W69" s="41">
        <v>5</v>
      </c>
      <c r="X69" s="36">
        <v>10</v>
      </c>
      <c r="Y69" s="36">
        <f t="shared" ref="Y69:Y100" si="32">SUM(S69:X69)</f>
        <v>35</v>
      </c>
      <c r="Z69" s="46" t="s">
        <v>276</v>
      </c>
      <c r="AA69" s="41">
        <v>5</v>
      </c>
      <c r="AB69" s="41">
        <v>5</v>
      </c>
      <c r="AC69" s="56">
        <v>5</v>
      </c>
      <c r="AD69" s="41">
        <v>5</v>
      </c>
      <c r="AE69" s="41">
        <v>5</v>
      </c>
      <c r="AF69" s="34">
        <v>10</v>
      </c>
      <c r="AG69" s="36">
        <f t="shared" ref="AG69:AG100" si="33">SUM(AA69:AF69)</f>
        <v>35</v>
      </c>
      <c r="AH69" s="34" t="s">
        <v>276</v>
      </c>
      <c r="AI69" s="41">
        <v>5</v>
      </c>
      <c r="AJ69" s="36">
        <v>5</v>
      </c>
      <c r="AK69" s="36">
        <v>5</v>
      </c>
      <c r="AL69" s="41">
        <v>5</v>
      </c>
      <c r="AM69" s="36">
        <v>5</v>
      </c>
      <c r="AN69" s="34">
        <v>10</v>
      </c>
      <c r="AO69" s="48">
        <f t="shared" ref="AO69:AO100" si="34">SUM(AI69:AN69)</f>
        <v>35</v>
      </c>
      <c r="AP69" s="34" t="s">
        <v>276</v>
      </c>
      <c r="AQ69" s="34">
        <v>20</v>
      </c>
      <c r="AR69" s="35">
        <f t="shared" si="30"/>
        <v>160</v>
      </c>
      <c r="AS69" s="36">
        <v>5</v>
      </c>
      <c r="AT69" s="36">
        <v>5</v>
      </c>
      <c r="AU69" s="41">
        <v>5</v>
      </c>
      <c r="AV69" s="41">
        <v>5</v>
      </c>
      <c r="AW69" s="36">
        <v>5</v>
      </c>
      <c r="AX69" s="34">
        <v>10</v>
      </c>
      <c r="AY69" s="34">
        <f t="shared" si="31"/>
        <v>35</v>
      </c>
      <c r="AZ69" s="34" t="s">
        <v>276</v>
      </c>
      <c r="BA69" s="41">
        <v>5</v>
      </c>
      <c r="BB69" s="41">
        <v>5</v>
      </c>
      <c r="BC69" s="41" t="s">
        <v>314</v>
      </c>
      <c r="BD69" s="41">
        <v>5</v>
      </c>
      <c r="BE69" s="41">
        <v>5</v>
      </c>
      <c r="BF69" s="34"/>
      <c r="BG69" s="36">
        <f t="shared" ref="BG69:BG100" si="35">SUM(BA69:BF69)</f>
        <v>20</v>
      </c>
      <c r="BH69" s="35"/>
      <c r="BI69" s="41">
        <v>5</v>
      </c>
      <c r="BJ69" s="41">
        <v>5</v>
      </c>
      <c r="BK69" s="41">
        <v>5</v>
      </c>
      <c r="BL69" s="41">
        <v>5</v>
      </c>
      <c r="BM69" s="40">
        <v>5</v>
      </c>
      <c r="BN69" s="36">
        <v>10</v>
      </c>
      <c r="BO69" s="50">
        <f t="shared" ref="BO69:BO100" si="36">SUM(BI69:BN69)</f>
        <v>35</v>
      </c>
      <c r="BP69" s="46" t="s">
        <v>276</v>
      </c>
      <c r="BQ69" s="47">
        <v>5</v>
      </c>
      <c r="BR69" s="47">
        <v>5</v>
      </c>
      <c r="BS69" s="47">
        <v>5</v>
      </c>
      <c r="BT69" s="47">
        <v>5</v>
      </c>
      <c r="BU69" s="47">
        <v>5</v>
      </c>
      <c r="BV69" s="47">
        <v>5</v>
      </c>
      <c r="BW69" s="36">
        <f t="shared" ref="BW69:BW100" si="37">SUM(BQ69:BV69)</f>
        <v>30</v>
      </c>
      <c r="BX69" s="36"/>
      <c r="BY69" s="36">
        <f>AY69+BG69+BO69+BW69</f>
        <v>120</v>
      </c>
      <c r="BZ69" s="35"/>
      <c r="CA69" s="47">
        <v>5</v>
      </c>
      <c r="CB69" s="47">
        <v>5</v>
      </c>
      <c r="CC69" s="47">
        <v>5</v>
      </c>
      <c r="CD69" s="47">
        <v>5</v>
      </c>
      <c r="CE69" s="36"/>
      <c r="CF69" s="34"/>
      <c r="CG69" s="34"/>
      <c r="CH69" s="35"/>
    </row>
    <row r="70" spans="1:86" ht="13">
      <c r="A70" s="36">
        <v>67</v>
      </c>
      <c r="B70" s="38" t="s">
        <v>433</v>
      </c>
      <c r="C70" s="36">
        <v>6</v>
      </c>
      <c r="E70" s="36" t="s">
        <v>421</v>
      </c>
      <c r="F70" s="36" t="s">
        <v>395</v>
      </c>
      <c r="G70" s="36" t="s">
        <v>422</v>
      </c>
      <c r="H70" s="39" t="s">
        <v>432</v>
      </c>
      <c r="I70" s="40" t="s">
        <v>337</v>
      </c>
      <c r="J70" s="40">
        <f t="shared" si="28"/>
        <v>225</v>
      </c>
      <c r="K70" s="41">
        <v>5</v>
      </c>
      <c r="L70" s="41">
        <v>5</v>
      </c>
      <c r="M70" s="41">
        <v>5</v>
      </c>
      <c r="N70" s="41">
        <v>5</v>
      </c>
      <c r="O70" s="41">
        <v>5</v>
      </c>
      <c r="P70" s="41">
        <v>10</v>
      </c>
      <c r="Q70" s="43">
        <f t="shared" si="29"/>
        <v>35</v>
      </c>
      <c r="R70" s="34" t="s">
        <v>276</v>
      </c>
      <c r="S70" s="41">
        <v>5</v>
      </c>
      <c r="T70" s="41">
        <v>5</v>
      </c>
      <c r="U70" s="41" t="s">
        <v>314</v>
      </c>
      <c r="V70" s="41">
        <v>5</v>
      </c>
      <c r="W70" s="41">
        <v>5</v>
      </c>
      <c r="X70" s="34"/>
      <c r="Y70" s="36">
        <f t="shared" si="32"/>
        <v>20</v>
      </c>
      <c r="Z70" s="34"/>
      <c r="AA70" s="41">
        <v>5</v>
      </c>
      <c r="AB70" s="41">
        <v>5</v>
      </c>
      <c r="AC70" s="56">
        <v>5</v>
      </c>
      <c r="AD70" s="41">
        <v>5</v>
      </c>
      <c r="AE70" s="41">
        <v>5</v>
      </c>
      <c r="AF70" s="34">
        <v>10</v>
      </c>
      <c r="AG70" s="36">
        <f t="shared" si="33"/>
        <v>35</v>
      </c>
      <c r="AH70" s="34" t="s">
        <v>276</v>
      </c>
      <c r="AI70" s="41">
        <v>5</v>
      </c>
      <c r="AJ70" s="36">
        <v>5</v>
      </c>
      <c r="AK70" s="36">
        <v>5</v>
      </c>
      <c r="AL70" s="41">
        <v>5</v>
      </c>
      <c r="AM70" s="36">
        <v>5</v>
      </c>
      <c r="AN70" s="34">
        <v>10</v>
      </c>
      <c r="AO70" s="48">
        <f t="shared" si="34"/>
        <v>35</v>
      </c>
      <c r="AP70" s="34" t="s">
        <v>276</v>
      </c>
      <c r="AQ70" s="51"/>
      <c r="AR70" s="35">
        <f t="shared" si="30"/>
        <v>125</v>
      </c>
      <c r="AS70" s="36">
        <v>5</v>
      </c>
      <c r="AT70" s="36">
        <v>5</v>
      </c>
      <c r="AU70" s="41">
        <v>5</v>
      </c>
      <c r="AV70" s="41">
        <v>5</v>
      </c>
      <c r="AW70" s="36">
        <v>5</v>
      </c>
      <c r="AX70" s="34">
        <v>10</v>
      </c>
      <c r="AY70" s="34">
        <f t="shared" si="31"/>
        <v>35</v>
      </c>
      <c r="AZ70" s="34" t="s">
        <v>276</v>
      </c>
      <c r="BA70" s="41">
        <v>5</v>
      </c>
      <c r="BB70" s="41">
        <v>5</v>
      </c>
      <c r="BC70" s="41">
        <v>5</v>
      </c>
      <c r="BD70" s="41">
        <v>5</v>
      </c>
      <c r="BE70" s="41" t="s">
        <v>292</v>
      </c>
      <c r="BF70" s="34"/>
      <c r="BG70" s="36">
        <f t="shared" si="35"/>
        <v>20</v>
      </c>
      <c r="BH70" s="35"/>
      <c r="BI70" s="41" t="s">
        <v>292</v>
      </c>
      <c r="BJ70" s="41" t="s">
        <v>292</v>
      </c>
      <c r="BK70" s="41">
        <v>5</v>
      </c>
      <c r="BL70" s="41">
        <v>5</v>
      </c>
      <c r="BM70" s="36">
        <v>5</v>
      </c>
      <c r="BN70" s="34"/>
      <c r="BO70" s="36">
        <f t="shared" si="36"/>
        <v>15</v>
      </c>
      <c r="BP70" s="34"/>
      <c r="BQ70" s="47">
        <v>5</v>
      </c>
      <c r="BR70" s="47">
        <v>5</v>
      </c>
      <c r="BS70" s="47">
        <v>5</v>
      </c>
      <c r="BT70" s="47">
        <v>5</v>
      </c>
      <c r="BU70" s="47">
        <v>5</v>
      </c>
      <c r="BV70" s="47">
        <v>5</v>
      </c>
      <c r="BW70" s="36">
        <f t="shared" si="37"/>
        <v>30</v>
      </c>
      <c r="BX70" s="36"/>
      <c r="BY70" s="36">
        <f>AY70+BG70+BO70+BW70</f>
        <v>100</v>
      </c>
      <c r="BZ70" s="35"/>
      <c r="CA70" s="47">
        <v>5</v>
      </c>
      <c r="CB70" s="47">
        <v>5</v>
      </c>
      <c r="CC70" s="47">
        <v>5</v>
      </c>
      <c r="CD70" s="47">
        <v>5</v>
      </c>
      <c r="CE70" s="36"/>
      <c r="CF70" s="34"/>
      <c r="CG70" s="34"/>
      <c r="CH70" s="35"/>
    </row>
    <row r="71" spans="1:86" ht="13">
      <c r="A71" s="36">
        <v>68</v>
      </c>
      <c r="B71" s="38" t="s">
        <v>434</v>
      </c>
      <c r="C71" s="36">
        <v>6</v>
      </c>
      <c r="E71" s="36" t="s">
        <v>421</v>
      </c>
      <c r="F71" s="36" t="s">
        <v>395</v>
      </c>
      <c r="G71" s="36" t="s">
        <v>422</v>
      </c>
      <c r="H71" s="39" t="s">
        <v>432</v>
      </c>
      <c r="I71" s="40" t="s">
        <v>297</v>
      </c>
      <c r="J71" s="40">
        <f t="shared" si="28"/>
        <v>315</v>
      </c>
      <c r="K71" s="41">
        <v>5</v>
      </c>
      <c r="L71" s="41">
        <v>5</v>
      </c>
      <c r="M71" s="41">
        <v>5</v>
      </c>
      <c r="N71" s="41">
        <v>5</v>
      </c>
      <c r="O71" s="41">
        <v>5</v>
      </c>
      <c r="P71" s="41">
        <v>10</v>
      </c>
      <c r="Q71" s="43">
        <f t="shared" si="29"/>
        <v>35</v>
      </c>
      <c r="R71" s="34" t="s">
        <v>276</v>
      </c>
      <c r="S71" s="41">
        <v>5</v>
      </c>
      <c r="T71" s="41">
        <v>5</v>
      </c>
      <c r="U71" s="41">
        <v>5</v>
      </c>
      <c r="V71" s="41">
        <v>5</v>
      </c>
      <c r="W71" s="41">
        <v>5</v>
      </c>
      <c r="X71" s="36">
        <v>10</v>
      </c>
      <c r="Y71" s="36">
        <f t="shared" si="32"/>
        <v>35</v>
      </c>
      <c r="Z71" s="46" t="s">
        <v>276</v>
      </c>
      <c r="AA71" s="41">
        <v>5</v>
      </c>
      <c r="AB71" s="41">
        <v>5</v>
      </c>
      <c r="AC71" s="56">
        <v>5</v>
      </c>
      <c r="AD71" s="41">
        <v>5</v>
      </c>
      <c r="AE71" s="41">
        <v>5</v>
      </c>
      <c r="AF71" s="34">
        <v>10</v>
      </c>
      <c r="AG71" s="36">
        <f t="shared" si="33"/>
        <v>35</v>
      </c>
      <c r="AH71" s="34" t="s">
        <v>276</v>
      </c>
      <c r="AI71" s="41">
        <v>5</v>
      </c>
      <c r="AJ71" s="36">
        <v>5</v>
      </c>
      <c r="AK71" s="36">
        <v>5</v>
      </c>
      <c r="AL71" s="41">
        <v>5</v>
      </c>
      <c r="AM71" s="36">
        <v>5</v>
      </c>
      <c r="AN71" s="34">
        <v>10</v>
      </c>
      <c r="AO71" s="48">
        <f t="shared" si="34"/>
        <v>35</v>
      </c>
      <c r="AP71" s="34" t="s">
        <v>276</v>
      </c>
      <c r="AQ71" s="34">
        <v>20</v>
      </c>
      <c r="AR71" s="35">
        <f t="shared" si="30"/>
        <v>160</v>
      </c>
      <c r="AS71" s="36">
        <v>5</v>
      </c>
      <c r="AT71" s="36">
        <v>5</v>
      </c>
      <c r="AU71" s="41">
        <v>5</v>
      </c>
      <c r="AV71" s="41">
        <v>5</v>
      </c>
      <c r="AW71" s="36">
        <v>5</v>
      </c>
      <c r="AX71" s="34">
        <v>10</v>
      </c>
      <c r="AY71" s="34">
        <f t="shared" si="31"/>
        <v>35</v>
      </c>
      <c r="AZ71" s="34" t="s">
        <v>276</v>
      </c>
      <c r="BA71" s="41">
        <v>5</v>
      </c>
      <c r="BB71" s="41">
        <v>5</v>
      </c>
      <c r="BC71" s="41">
        <v>5</v>
      </c>
      <c r="BD71" s="41">
        <v>5</v>
      </c>
      <c r="BE71" s="41">
        <v>5</v>
      </c>
      <c r="BF71" s="36">
        <v>10</v>
      </c>
      <c r="BG71" s="36">
        <f t="shared" si="35"/>
        <v>35</v>
      </c>
      <c r="BH71" s="45" t="s">
        <v>276</v>
      </c>
      <c r="BI71" s="41">
        <v>5</v>
      </c>
      <c r="BJ71" s="41">
        <v>5</v>
      </c>
      <c r="BK71" s="41">
        <v>5</v>
      </c>
      <c r="BL71" s="41">
        <v>5</v>
      </c>
      <c r="BM71" s="36">
        <v>5</v>
      </c>
      <c r="BN71" s="36">
        <v>10</v>
      </c>
      <c r="BO71" s="36">
        <f t="shared" si="36"/>
        <v>35</v>
      </c>
      <c r="BP71" s="46" t="s">
        <v>276</v>
      </c>
      <c r="BQ71" s="47">
        <v>5</v>
      </c>
      <c r="BR71" s="47">
        <v>5</v>
      </c>
      <c r="BS71" s="47">
        <v>5</v>
      </c>
      <c r="BT71" s="47">
        <v>5</v>
      </c>
      <c r="BU71" s="47">
        <v>5</v>
      </c>
      <c r="BV71" s="47">
        <v>5</v>
      </c>
      <c r="BW71" s="36">
        <f t="shared" si="37"/>
        <v>30</v>
      </c>
      <c r="BX71" s="36">
        <v>20</v>
      </c>
      <c r="BY71" s="36">
        <f>AY71+BG71+BO71+BW71+BX71</f>
        <v>155</v>
      </c>
      <c r="BZ71" s="46" t="s">
        <v>277</v>
      </c>
      <c r="CA71" s="47">
        <v>5</v>
      </c>
      <c r="CB71" s="47">
        <v>5</v>
      </c>
      <c r="CC71" s="47">
        <v>5</v>
      </c>
      <c r="CD71" s="47">
        <v>5</v>
      </c>
      <c r="CE71" s="36"/>
      <c r="CF71" s="34"/>
      <c r="CG71" s="34"/>
      <c r="CH71" s="35"/>
    </row>
    <row r="72" spans="1:86" ht="13">
      <c r="A72" s="36">
        <v>69</v>
      </c>
      <c r="B72" s="38" t="s">
        <v>435</v>
      </c>
      <c r="C72" s="36">
        <v>6</v>
      </c>
      <c r="E72" s="36" t="s">
        <v>436</v>
      </c>
      <c r="F72" s="36" t="s">
        <v>395</v>
      </c>
      <c r="G72" s="36" t="s">
        <v>437</v>
      </c>
      <c r="H72" s="39" t="s">
        <v>425</v>
      </c>
      <c r="I72" s="40" t="s">
        <v>302</v>
      </c>
      <c r="J72" s="40">
        <f t="shared" si="28"/>
        <v>245</v>
      </c>
      <c r="K72" s="41">
        <v>5</v>
      </c>
      <c r="L72" s="41">
        <v>5</v>
      </c>
      <c r="M72" s="41">
        <v>5</v>
      </c>
      <c r="N72" s="41">
        <v>5</v>
      </c>
      <c r="O72" s="41">
        <v>5</v>
      </c>
      <c r="P72" s="41">
        <v>10</v>
      </c>
      <c r="Q72" s="43">
        <f t="shared" si="29"/>
        <v>35</v>
      </c>
      <c r="R72" s="34" t="s">
        <v>276</v>
      </c>
      <c r="S72" s="41">
        <v>5</v>
      </c>
      <c r="T72" s="41">
        <v>5</v>
      </c>
      <c r="U72" s="41">
        <v>5</v>
      </c>
      <c r="V72" s="41">
        <v>5</v>
      </c>
      <c r="W72" s="41">
        <v>5</v>
      </c>
      <c r="X72" s="36">
        <v>10</v>
      </c>
      <c r="Y72" s="36">
        <f t="shared" si="32"/>
        <v>35</v>
      </c>
      <c r="Z72" s="46" t="s">
        <v>276</v>
      </c>
      <c r="AA72" s="41">
        <v>5</v>
      </c>
      <c r="AB72" s="41">
        <v>5</v>
      </c>
      <c r="AC72" s="56">
        <v>5</v>
      </c>
      <c r="AD72" s="41">
        <v>5</v>
      </c>
      <c r="AE72" s="41">
        <v>5</v>
      </c>
      <c r="AF72" s="34">
        <v>10</v>
      </c>
      <c r="AG72" s="36">
        <f t="shared" si="33"/>
        <v>35</v>
      </c>
      <c r="AH72" s="34" t="s">
        <v>276</v>
      </c>
      <c r="AI72" s="41">
        <v>5</v>
      </c>
      <c r="AJ72" s="36">
        <v>5</v>
      </c>
      <c r="AK72" s="36">
        <v>5</v>
      </c>
      <c r="AL72" s="41">
        <v>5</v>
      </c>
      <c r="AM72" s="36">
        <v>5</v>
      </c>
      <c r="AN72" s="34">
        <v>10</v>
      </c>
      <c r="AO72" s="48">
        <f t="shared" si="34"/>
        <v>35</v>
      </c>
      <c r="AP72" s="34" t="s">
        <v>276</v>
      </c>
      <c r="AQ72" s="34">
        <v>20</v>
      </c>
      <c r="AR72" s="35">
        <f t="shared" si="30"/>
        <v>160</v>
      </c>
      <c r="AS72" s="36">
        <v>5</v>
      </c>
      <c r="AT72" s="36">
        <v>5</v>
      </c>
      <c r="AU72" s="41">
        <v>5</v>
      </c>
      <c r="AV72" s="41" t="s">
        <v>314</v>
      </c>
      <c r="AW72" s="36">
        <v>5</v>
      </c>
      <c r="AX72" s="34"/>
      <c r="AY72" s="34">
        <f t="shared" si="31"/>
        <v>20</v>
      </c>
      <c r="AZ72" s="35"/>
      <c r="BA72" s="41">
        <v>5</v>
      </c>
      <c r="BB72" s="41">
        <v>5</v>
      </c>
      <c r="BC72" s="41">
        <v>5</v>
      </c>
      <c r="BD72" s="41">
        <v>5</v>
      </c>
      <c r="BE72" s="41">
        <v>5</v>
      </c>
      <c r="BF72" s="36">
        <v>10</v>
      </c>
      <c r="BG72" s="36">
        <f t="shared" si="35"/>
        <v>35</v>
      </c>
      <c r="BH72" s="45" t="s">
        <v>276</v>
      </c>
      <c r="BI72" s="41" t="s">
        <v>314</v>
      </c>
      <c r="BJ72" s="41" t="s">
        <v>314</v>
      </c>
      <c r="BK72" s="41">
        <v>5</v>
      </c>
      <c r="BL72" s="41">
        <v>5</v>
      </c>
      <c r="BM72" s="36">
        <v>5</v>
      </c>
      <c r="BN72" s="34"/>
      <c r="BO72" s="36">
        <f t="shared" si="36"/>
        <v>15</v>
      </c>
      <c r="BP72" s="34"/>
      <c r="BQ72" s="47">
        <v>5</v>
      </c>
      <c r="BR72" s="47" t="s">
        <v>314</v>
      </c>
      <c r="BS72" s="47">
        <v>5</v>
      </c>
      <c r="BT72" s="47" t="s">
        <v>314</v>
      </c>
      <c r="BU72" s="47">
        <v>5</v>
      </c>
      <c r="BV72" s="34"/>
      <c r="BW72" s="36">
        <f t="shared" si="37"/>
        <v>15</v>
      </c>
      <c r="BX72" s="36"/>
      <c r="BY72" s="36">
        <f>AY72+BG72+BO72+BW72</f>
        <v>85</v>
      </c>
      <c r="BZ72" s="35"/>
      <c r="CA72" s="47">
        <v>5</v>
      </c>
      <c r="CB72" s="47">
        <v>5</v>
      </c>
      <c r="CC72" s="47">
        <v>5</v>
      </c>
      <c r="CD72" s="47" t="s">
        <v>314</v>
      </c>
      <c r="CE72" s="36"/>
      <c r="CF72" s="34"/>
      <c r="CG72" s="34"/>
      <c r="CH72" s="35"/>
    </row>
    <row r="73" spans="1:86" ht="13">
      <c r="A73" s="36">
        <v>70</v>
      </c>
      <c r="B73" s="38" t="s">
        <v>438</v>
      </c>
      <c r="C73" s="36">
        <v>6</v>
      </c>
      <c r="E73" s="36" t="s">
        <v>421</v>
      </c>
      <c r="F73" s="36" t="s">
        <v>395</v>
      </c>
      <c r="G73" s="36" t="s">
        <v>437</v>
      </c>
      <c r="H73" s="39" t="s">
        <v>425</v>
      </c>
      <c r="I73" s="40" t="s">
        <v>302</v>
      </c>
      <c r="J73" s="40">
        <f t="shared" si="28"/>
        <v>315</v>
      </c>
      <c r="K73" s="41">
        <v>5</v>
      </c>
      <c r="L73" s="41">
        <v>5</v>
      </c>
      <c r="M73" s="41">
        <v>5</v>
      </c>
      <c r="N73" s="41">
        <v>5</v>
      </c>
      <c r="O73" s="41">
        <v>5</v>
      </c>
      <c r="P73" s="41">
        <v>10</v>
      </c>
      <c r="Q73" s="43">
        <f t="shared" si="29"/>
        <v>35</v>
      </c>
      <c r="R73" s="34" t="s">
        <v>276</v>
      </c>
      <c r="S73" s="41">
        <v>5</v>
      </c>
      <c r="T73" s="41">
        <v>5</v>
      </c>
      <c r="U73" s="41">
        <v>5</v>
      </c>
      <c r="V73" s="41">
        <v>5</v>
      </c>
      <c r="W73" s="41">
        <v>5</v>
      </c>
      <c r="X73" s="36">
        <v>10</v>
      </c>
      <c r="Y73" s="36">
        <f t="shared" si="32"/>
        <v>35</v>
      </c>
      <c r="Z73" s="46" t="s">
        <v>276</v>
      </c>
      <c r="AA73" s="41">
        <v>5</v>
      </c>
      <c r="AB73" s="41">
        <v>5</v>
      </c>
      <c r="AC73" s="56">
        <v>5</v>
      </c>
      <c r="AD73" s="41">
        <v>5</v>
      </c>
      <c r="AE73" s="41">
        <v>5</v>
      </c>
      <c r="AF73" s="34">
        <v>10</v>
      </c>
      <c r="AG73" s="36">
        <f t="shared" si="33"/>
        <v>35</v>
      </c>
      <c r="AH73" s="34" t="s">
        <v>276</v>
      </c>
      <c r="AI73" s="41">
        <v>5</v>
      </c>
      <c r="AJ73" s="36">
        <v>5</v>
      </c>
      <c r="AK73" s="36">
        <v>5</v>
      </c>
      <c r="AL73" s="41">
        <v>5</v>
      </c>
      <c r="AM73" s="36">
        <v>5</v>
      </c>
      <c r="AN73" s="34">
        <v>10</v>
      </c>
      <c r="AO73" s="48">
        <f t="shared" si="34"/>
        <v>35</v>
      </c>
      <c r="AP73" s="34" t="s">
        <v>276</v>
      </c>
      <c r="AQ73" s="34">
        <v>20</v>
      </c>
      <c r="AR73" s="35">
        <f t="shared" si="30"/>
        <v>160</v>
      </c>
      <c r="AS73" s="36">
        <v>5</v>
      </c>
      <c r="AT73" s="36">
        <v>5</v>
      </c>
      <c r="AU73" s="41">
        <v>5</v>
      </c>
      <c r="AV73" s="41">
        <v>5</v>
      </c>
      <c r="AW73" s="36">
        <v>5</v>
      </c>
      <c r="AX73" s="34">
        <v>10</v>
      </c>
      <c r="AY73" s="34">
        <f t="shared" si="31"/>
        <v>35</v>
      </c>
      <c r="AZ73" s="34" t="s">
        <v>276</v>
      </c>
      <c r="BA73" s="41">
        <v>5</v>
      </c>
      <c r="BB73" s="41">
        <v>5</v>
      </c>
      <c r="BC73" s="41">
        <v>5</v>
      </c>
      <c r="BD73" s="41">
        <v>5</v>
      </c>
      <c r="BE73" s="41">
        <v>5</v>
      </c>
      <c r="BF73" s="36">
        <v>10</v>
      </c>
      <c r="BG73" s="36">
        <f t="shared" si="35"/>
        <v>35</v>
      </c>
      <c r="BH73" s="45" t="s">
        <v>276</v>
      </c>
      <c r="BI73" s="41">
        <v>5</v>
      </c>
      <c r="BJ73" s="41">
        <v>5</v>
      </c>
      <c r="BK73" s="41">
        <v>5</v>
      </c>
      <c r="BL73" s="41">
        <v>5</v>
      </c>
      <c r="BM73" s="40">
        <v>5</v>
      </c>
      <c r="BN73" s="36">
        <v>10</v>
      </c>
      <c r="BO73" s="50">
        <f t="shared" si="36"/>
        <v>35</v>
      </c>
      <c r="BP73" s="46" t="s">
        <v>276</v>
      </c>
      <c r="BQ73" s="47">
        <v>5</v>
      </c>
      <c r="BR73" s="47">
        <v>5</v>
      </c>
      <c r="BS73" s="47">
        <v>5</v>
      </c>
      <c r="BT73" s="47">
        <v>5</v>
      </c>
      <c r="BU73" s="47">
        <v>5</v>
      </c>
      <c r="BV73" s="47">
        <v>5</v>
      </c>
      <c r="BW73" s="36">
        <f t="shared" si="37"/>
        <v>30</v>
      </c>
      <c r="BX73" s="36">
        <v>20</v>
      </c>
      <c r="BY73" s="36">
        <f>AY73+BG73+BO73+BW73+BX73</f>
        <v>155</v>
      </c>
      <c r="BZ73" s="46" t="s">
        <v>277</v>
      </c>
      <c r="CA73" s="47">
        <v>5</v>
      </c>
      <c r="CB73" s="47">
        <v>5</v>
      </c>
      <c r="CC73" s="47">
        <v>5</v>
      </c>
      <c r="CD73" s="47">
        <v>5</v>
      </c>
      <c r="CE73" s="36"/>
      <c r="CF73" s="34"/>
      <c r="CG73" s="34"/>
      <c r="CH73" s="35"/>
    </row>
    <row r="74" spans="1:86" ht="13">
      <c r="A74" s="36">
        <v>71</v>
      </c>
      <c r="B74" s="38" t="s">
        <v>439</v>
      </c>
      <c r="C74" s="36">
        <v>6</v>
      </c>
      <c r="E74" s="36" t="s">
        <v>430</v>
      </c>
      <c r="F74" s="36" t="s">
        <v>395</v>
      </c>
      <c r="G74" s="36" t="s">
        <v>437</v>
      </c>
      <c r="H74" s="39" t="s">
        <v>425</v>
      </c>
      <c r="I74" s="40" t="s">
        <v>302</v>
      </c>
      <c r="J74" s="40">
        <f t="shared" si="28"/>
        <v>280</v>
      </c>
      <c r="K74" s="41">
        <v>5</v>
      </c>
      <c r="L74" s="41">
        <v>5</v>
      </c>
      <c r="M74" s="41">
        <v>5</v>
      </c>
      <c r="N74" s="41">
        <v>5</v>
      </c>
      <c r="O74" s="41">
        <v>5</v>
      </c>
      <c r="P74" s="41">
        <v>10</v>
      </c>
      <c r="Q74" s="43">
        <f t="shared" si="29"/>
        <v>35</v>
      </c>
      <c r="R74" s="34" t="s">
        <v>276</v>
      </c>
      <c r="S74" s="41">
        <v>5</v>
      </c>
      <c r="T74" s="41">
        <v>5</v>
      </c>
      <c r="U74" s="41">
        <v>5</v>
      </c>
      <c r="V74" s="41">
        <v>5</v>
      </c>
      <c r="W74" s="41">
        <v>5</v>
      </c>
      <c r="X74" s="36">
        <v>10</v>
      </c>
      <c r="Y74" s="36">
        <f t="shared" si="32"/>
        <v>35</v>
      </c>
      <c r="Z74" s="46" t="s">
        <v>276</v>
      </c>
      <c r="AA74" s="41">
        <v>5</v>
      </c>
      <c r="AB74" s="41">
        <v>5</v>
      </c>
      <c r="AC74" s="56">
        <v>5</v>
      </c>
      <c r="AD74" s="41" t="s">
        <v>314</v>
      </c>
      <c r="AE74" s="41">
        <v>5</v>
      </c>
      <c r="AF74" s="34"/>
      <c r="AG74" s="36">
        <f t="shared" si="33"/>
        <v>20</v>
      </c>
      <c r="AH74" s="34"/>
      <c r="AI74" s="41">
        <v>5</v>
      </c>
      <c r="AJ74" s="36">
        <v>5</v>
      </c>
      <c r="AK74" s="36">
        <v>5</v>
      </c>
      <c r="AL74" s="41">
        <v>5</v>
      </c>
      <c r="AM74" s="36">
        <v>5</v>
      </c>
      <c r="AN74" s="34">
        <v>10</v>
      </c>
      <c r="AO74" s="48">
        <f t="shared" si="34"/>
        <v>35</v>
      </c>
      <c r="AP74" s="34" t="s">
        <v>276</v>
      </c>
      <c r="AQ74" s="51"/>
      <c r="AR74" s="35">
        <f t="shared" si="30"/>
        <v>125</v>
      </c>
      <c r="AS74" s="36">
        <v>5</v>
      </c>
      <c r="AT74" s="36">
        <v>5</v>
      </c>
      <c r="AU74" s="41">
        <v>5</v>
      </c>
      <c r="AV74" s="41">
        <v>5</v>
      </c>
      <c r="AW74" s="36">
        <v>5</v>
      </c>
      <c r="AX74" s="34">
        <v>10</v>
      </c>
      <c r="AY74" s="34">
        <f t="shared" si="31"/>
        <v>35</v>
      </c>
      <c r="AZ74" s="34" t="s">
        <v>276</v>
      </c>
      <c r="BA74" s="41">
        <v>5</v>
      </c>
      <c r="BB74" s="41">
        <v>5</v>
      </c>
      <c r="BC74" s="41">
        <v>5</v>
      </c>
      <c r="BD74" s="41">
        <v>5</v>
      </c>
      <c r="BE74" s="41">
        <v>5</v>
      </c>
      <c r="BF74" s="36">
        <v>10</v>
      </c>
      <c r="BG74" s="36">
        <f t="shared" si="35"/>
        <v>35</v>
      </c>
      <c r="BH74" s="45" t="s">
        <v>276</v>
      </c>
      <c r="BI74" s="41">
        <v>5</v>
      </c>
      <c r="BJ74" s="41">
        <v>5</v>
      </c>
      <c r="BK74" s="41">
        <v>5</v>
      </c>
      <c r="BL74" s="41">
        <v>5</v>
      </c>
      <c r="BM74" s="40">
        <v>5</v>
      </c>
      <c r="BN74" s="36">
        <v>10</v>
      </c>
      <c r="BO74" s="50">
        <f t="shared" si="36"/>
        <v>35</v>
      </c>
      <c r="BP74" s="46" t="s">
        <v>276</v>
      </c>
      <c r="BQ74" s="47">
        <v>5</v>
      </c>
      <c r="BR74" s="47">
        <v>5</v>
      </c>
      <c r="BS74" s="47">
        <v>5</v>
      </c>
      <c r="BT74" s="47">
        <v>5</v>
      </c>
      <c r="BU74" s="47">
        <v>5</v>
      </c>
      <c r="BV74" s="47">
        <v>5</v>
      </c>
      <c r="BW74" s="36">
        <f t="shared" si="37"/>
        <v>30</v>
      </c>
      <c r="BX74" s="36">
        <v>20</v>
      </c>
      <c r="BY74" s="36">
        <f>AY74+BG74+BO74+BW74+BX74</f>
        <v>155</v>
      </c>
      <c r="BZ74" s="46" t="s">
        <v>277</v>
      </c>
      <c r="CA74" s="47">
        <v>5</v>
      </c>
      <c r="CB74" s="47">
        <v>5</v>
      </c>
      <c r="CC74" s="47">
        <v>5</v>
      </c>
      <c r="CD74" s="47">
        <v>5</v>
      </c>
      <c r="CE74" s="36"/>
      <c r="CF74" s="34"/>
      <c r="CG74" s="34"/>
      <c r="CH74" s="35"/>
    </row>
    <row r="75" spans="1:86" ht="13">
      <c r="A75" s="36">
        <v>72</v>
      </c>
      <c r="B75" s="38" t="s">
        <v>440</v>
      </c>
      <c r="C75" s="36">
        <v>6</v>
      </c>
      <c r="E75" s="36" t="s">
        <v>421</v>
      </c>
      <c r="F75" s="36" t="s">
        <v>395</v>
      </c>
      <c r="G75" s="36" t="s">
        <v>437</v>
      </c>
      <c r="H75" s="39" t="s">
        <v>425</v>
      </c>
      <c r="I75" s="40" t="s">
        <v>302</v>
      </c>
      <c r="J75" s="40">
        <f t="shared" si="28"/>
        <v>315</v>
      </c>
      <c r="K75" s="41">
        <v>5</v>
      </c>
      <c r="L75" s="41">
        <v>5</v>
      </c>
      <c r="M75" s="41">
        <v>5</v>
      </c>
      <c r="N75" s="41">
        <v>5</v>
      </c>
      <c r="O75" s="41">
        <v>5</v>
      </c>
      <c r="P75" s="41">
        <v>10</v>
      </c>
      <c r="Q75" s="43">
        <f t="shared" si="29"/>
        <v>35</v>
      </c>
      <c r="R75" s="34" t="s">
        <v>276</v>
      </c>
      <c r="S75" s="41">
        <v>5</v>
      </c>
      <c r="T75" s="41">
        <v>5</v>
      </c>
      <c r="U75" s="41">
        <v>5</v>
      </c>
      <c r="V75" s="41">
        <v>5</v>
      </c>
      <c r="W75" s="41">
        <v>5</v>
      </c>
      <c r="X75" s="36">
        <v>10</v>
      </c>
      <c r="Y75" s="36">
        <f t="shared" si="32"/>
        <v>35</v>
      </c>
      <c r="Z75" s="46" t="s">
        <v>276</v>
      </c>
      <c r="AA75" s="41">
        <v>5</v>
      </c>
      <c r="AB75" s="41">
        <v>5</v>
      </c>
      <c r="AC75" s="56">
        <v>5</v>
      </c>
      <c r="AD75" s="41">
        <v>5</v>
      </c>
      <c r="AE75" s="41">
        <v>5</v>
      </c>
      <c r="AF75" s="34">
        <v>10</v>
      </c>
      <c r="AG75" s="36">
        <f t="shared" si="33"/>
        <v>35</v>
      </c>
      <c r="AH75" s="34" t="s">
        <v>276</v>
      </c>
      <c r="AI75" s="41">
        <v>5</v>
      </c>
      <c r="AJ75" s="36">
        <v>5</v>
      </c>
      <c r="AK75" s="36">
        <v>5</v>
      </c>
      <c r="AL75" s="41">
        <v>5</v>
      </c>
      <c r="AM75" s="36">
        <v>5</v>
      </c>
      <c r="AN75" s="34">
        <v>10</v>
      </c>
      <c r="AO75" s="48">
        <f t="shared" si="34"/>
        <v>35</v>
      </c>
      <c r="AP75" s="34" t="s">
        <v>276</v>
      </c>
      <c r="AQ75" s="34">
        <v>20</v>
      </c>
      <c r="AR75" s="35">
        <f t="shared" si="30"/>
        <v>160</v>
      </c>
      <c r="AS75" s="36">
        <v>5</v>
      </c>
      <c r="AT75" s="36">
        <v>5</v>
      </c>
      <c r="AU75" s="41">
        <v>5</v>
      </c>
      <c r="AV75" s="41">
        <v>5</v>
      </c>
      <c r="AW75" s="36">
        <v>5</v>
      </c>
      <c r="AX75" s="34">
        <v>10</v>
      </c>
      <c r="AY75" s="34">
        <f t="shared" si="31"/>
        <v>35</v>
      </c>
      <c r="AZ75" s="34" t="s">
        <v>276</v>
      </c>
      <c r="BA75" s="41">
        <v>5</v>
      </c>
      <c r="BB75" s="41">
        <v>5</v>
      </c>
      <c r="BC75" s="41">
        <v>5</v>
      </c>
      <c r="BD75" s="41">
        <v>5</v>
      </c>
      <c r="BE75" s="41">
        <v>5</v>
      </c>
      <c r="BF75" s="36">
        <v>10</v>
      </c>
      <c r="BG75" s="36">
        <f t="shared" si="35"/>
        <v>35</v>
      </c>
      <c r="BH75" s="45" t="s">
        <v>276</v>
      </c>
      <c r="BI75" s="41">
        <v>5</v>
      </c>
      <c r="BJ75" s="41">
        <v>5</v>
      </c>
      <c r="BK75" s="41">
        <v>5</v>
      </c>
      <c r="BL75" s="41">
        <v>5</v>
      </c>
      <c r="BM75" s="40">
        <v>5</v>
      </c>
      <c r="BN75" s="36">
        <v>10</v>
      </c>
      <c r="BO75" s="50">
        <f t="shared" si="36"/>
        <v>35</v>
      </c>
      <c r="BP75" s="46" t="s">
        <v>276</v>
      </c>
      <c r="BQ75" s="47">
        <v>5</v>
      </c>
      <c r="BR75" s="47">
        <v>5</v>
      </c>
      <c r="BS75" s="47">
        <v>5</v>
      </c>
      <c r="BT75" s="47">
        <v>5</v>
      </c>
      <c r="BU75" s="47">
        <v>5</v>
      </c>
      <c r="BV75" s="47">
        <v>5</v>
      </c>
      <c r="BW75" s="36">
        <f t="shared" si="37"/>
        <v>30</v>
      </c>
      <c r="BX75" s="36">
        <v>20</v>
      </c>
      <c r="BY75" s="36">
        <f>AY75+BG75+BO75+BW75+BX75</f>
        <v>155</v>
      </c>
      <c r="BZ75" s="46" t="s">
        <v>277</v>
      </c>
      <c r="CA75" s="47">
        <v>5</v>
      </c>
      <c r="CB75" s="47">
        <v>5</v>
      </c>
      <c r="CC75" s="47">
        <v>5</v>
      </c>
      <c r="CD75" s="47">
        <v>5</v>
      </c>
      <c r="CE75" s="36"/>
      <c r="CF75" s="34"/>
      <c r="CG75" s="34"/>
      <c r="CH75" s="35"/>
    </row>
    <row r="76" spans="1:86" ht="13">
      <c r="A76" s="36">
        <v>73</v>
      </c>
      <c r="B76" s="38" t="s">
        <v>441</v>
      </c>
      <c r="C76" s="36">
        <v>6</v>
      </c>
      <c r="E76" s="36" t="s">
        <v>421</v>
      </c>
      <c r="F76" s="36" t="s">
        <v>395</v>
      </c>
      <c r="G76" s="36" t="s">
        <v>437</v>
      </c>
      <c r="H76" s="39" t="s">
        <v>442</v>
      </c>
      <c r="I76" s="40" t="s">
        <v>302</v>
      </c>
      <c r="J76" s="40">
        <f t="shared" si="28"/>
        <v>315</v>
      </c>
      <c r="K76" s="41">
        <v>5</v>
      </c>
      <c r="L76" s="41">
        <v>5</v>
      </c>
      <c r="M76" s="41">
        <v>5</v>
      </c>
      <c r="N76" s="41">
        <v>5</v>
      </c>
      <c r="O76" s="41">
        <v>5</v>
      </c>
      <c r="P76" s="41">
        <v>10</v>
      </c>
      <c r="Q76" s="43">
        <f t="shared" si="29"/>
        <v>35</v>
      </c>
      <c r="R76" s="34" t="s">
        <v>276</v>
      </c>
      <c r="S76" s="41">
        <v>5</v>
      </c>
      <c r="T76" s="41">
        <v>5</v>
      </c>
      <c r="U76" s="41">
        <v>5</v>
      </c>
      <c r="V76" s="41">
        <v>5</v>
      </c>
      <c r="W76" s="41">
        <v>5</v>
      </c>
      <c r="X76" s="36">
        <v>10</v>
      </c>
      <c r="Y76" s="36">
        <f t="shared" si="32"/>
        <v>35</v>
      </c>
      <c r="Z76" s="46" t="s">
        <v>276</v>
      </c>
      <c r="AA76" s="41">
        <v>5</v>
      </c>
      <c r="AB76" s="41">
        <v>5</v>
      </c>
      <c r="AC76" s="56">
        <v>5</v>
      </c>
      <c r="AD76" s="41">
        <v>5</v>
      </c>
      <c r="AE76" s="41">
        <v>5</v>
      </c>
      <c r="AF76" s="34">
        <v>10</v>
      </c>
      <c r="AG76" s="36">
        <f t="shared" si="33"/>
        <v>35</v>
      </c>
      <c r="AH76" s="34" t="s">
        <v>276</v>
      </c>
      <c r="AI76" s="41">
        <v>5</v>
      </c>
      <c r="AJ76" s="36">
        <v>5</v>
      </c>
      <c r="AK76" s="36">
        <v>5</v>
      </c>
      <c r="AL76" s="41">
        <v>5</v>
      </c>
      <c r="AM76" s="36">
        <v>5</v>
      </c>
      <c r="AN76" s="34">
        <v>10</v>
      </c>
      <c r="AO76" s="48">
        <f t="shared" si="34"/>
        <v>35</v>
      </c>
      <c r="AP76" s="34" t="s">
        <v>276</v>
      </c>
      <c r="AQ76" s="34">
        <v>20</v>
      </c>
      <c r="AR76" s="35">
        <f t="shared" si="30"/>
        <v>160</v>
      </c>
      <c r="AS76" s="36">
        <v>5</v>
      </c>
      <c r="AT76" s="36">
        <v>5</v>
      </c>
      <c r="AU76" s="41">
        <v>5</v>
      </c>
      <c r="AV76" s="41">
        <v>5</v>
      </c>
      <c r="AW76" s="36">
        <v>5</v>
      </c>
      <c r="AX76" s="34">
        <v>10</v>
      </c>
      <c r="AY76" s="34">
        <f t="shared" si="31"/>
        <v>35</v>
      </c>
      <c r="AZ76" s="34" t="s">
        <v>276</v>
      </c>
      <c r="BA76" s="41">
        <v>5</v>
      </c>
      <c r="BB76" s="41">
        <v>5</v>
      </c>
      <c r="BC76" s="41">
        <v>5</v>
      </c>
      <c r="BD76" s="41">
        <v>5</v>
      </c>
      <c r="BE76" s="41">
        <v>5</v>
      </c>
      <c r="BF76" s="36">
        <v>10</v>
      </c>
      <c r="BG76" s="36">
        <f t="shared" si="35"/>
        <v>35</v>
      </c>
      <c r="BH76" s="45" t="s">
        <v>276</v>
      </c>
      <c r="BI76" s="41">
        <v>5</v>
      </c>
      <c r="BJ76" s="41">
        <v>5</v>
      </c>
      <c r="BK76" s="41">
        <v>5</v>
      </c>
      <c r="BL76" s="41">
        <v>5</v>
      </c>
      <c r="BM76" s="40">
        <v>5</v>
      </c>
      <c r="BN76" s="36">
        <v>10</v>
      </c>
      <c r="BO76" s="50">
        <f t="shared" si="36"/>
        <v>35</v>
      </c>
      <c r="BP76" s="46" t="s">
        <v>276</v>
      </c>
      <c r="BQ76" s="47">
        <v>5</v>
      </c>
      <c r="BR76" s="47">
        <v>5</v>
      </c>
      <c r="BS76" s="47">
        <v>5</v>
      </c>
      <c r="BT76" s="47">
        <v>5</v>
      </c>
      <c r="BU76" s="47">
        <v>5</v>
      </c>
      <c r="BV76" s="47">
        <v>5</v>
      </c>
      <c r="BW76" s="36">
        <f t="shared" si="37"/>
        <v>30</v>
      </c>
      <c r="BX76" s="36">
        <v>20</v>
      </c>
      <c r="BY76" s="36">
        <f>AY76+BG76+BO76+BW76+BX76</f>
        <v>155</v>
      </c>
      <c r="BZ76" s="46" t="s">
        <v>277</v>
      </c>
      <c r="CA76" s="47">
        <v>5</v>
      </c>
      <c r="CB76" s="47">
        <v>5</v>
      </c>
      <c r="CC76" s="47">
        <v>5</v>
      </c>
      <c r="CD76" s="47">
        <v>5</v>
      </c>
      <c r="CE76" s="36"/>
      <c r="CF76" s="34"/>
      <c r="CG76" s="34"/>
      <c r="CH76" s="35"/>
    </row>
    <row r="77" spans="1:86" ht="13">
      <c r="A77" s="36">
        <v>74</v>
      </c>
      <c r="B77" s="37" t="s">
        <v>443</v>
      </c>
      <c r="C77" s="36">
        <v>7</v>
      </c>
      <c r="D77" s="38" t="s">
        <v>270</v>
      </c>
      <c r="E77" s="36" t="s">
        <v>421</v>
      </c>
      <c r="F77" s="36" t="s">
        <v>395</v>
      </c>
      <c r="G77" s="36" t="s">
        <v>444</v>
      </c>
      <c r="H77" s="39" t="s">
        <v>445</v>
      </c>
      <c r="I77" s="40" t="s">
        <v>307</v>
      </c>
      <c r="J77" s="40">
        <f t="shared" si="28"/>
        <v>315</v>
      </c>
      <c r="K77" s="41">
        <v>5</v>
      </c>
      <c r="L77" s="41">
        <v>5</v>
      </c>
      <c r="M77" s="41">
        <v>5</v>
      </c>
      <c r="N77" s="41">
        <v>5</v>
      </c>
      <c r="O77" s="41">
        <v>5</v>
      </c>
      <c r="P77" s="41">
        <v>10</v>
      </c>
      <c r="Q77" s="43">
        <f t="shared" si="29"/>
        <v>35</v>
      </c>
      <c r="R77" s="34" t="s">
        <v>276</v>
      </c>
      <c r="S77" s="41">
        <v>5</v>
      </c>
      <c r="T77" s="41">
        <v>5</v>
      </c>
      <c r="U77" s="41">
        <v>5</v>
      </c>
      <c r="V77" s="41">
        <v>5</v>
      </c>
      <c r="W77" s="41">
        <v>5</v>
      </c>
      <c r="X77" s="36">
        <v>10</v>
      </c>
      <c r="Y77" s="36">
        <f t="shared" si="32"/>
        <v>35</v>
      </c>
      <c r="Z77" s="46" t="s">
        <v>276</v>
      </c>
      <c r="AA77" s="41">
        <v>5</v>
      </c>
      <c r="AB77" s="41">
        <v>5</v>
      </c>
      <c r="AC77" s="56">
        <v>5</v>
      </c>
      <c r="AD77" s="41">
        <v>5</v>
      </c>
      <c r="AE77" s="41">
        <v>5</v>
      </c>
      <c r="AF77" s="34">
        <v>10</v>
      </c>
      <c r="AG77" s="36">
        <f t="shared" si="33"/>
        <v>35</v>
      </c>
      <c r="AH77" s="34" t="s">
        <v>276</v>
      </c>
      <c r="AI77" s="41">
        <v>5</v>
      </c>
      <c r="AJ77" s="54">
        <v>5</v>
      </c>
      <c r="AK77" s="41">
        <v>5</v>
      </c>
      <c r="AL77" s="41">
        <v>5</v>
      </c>
      <c r="AM77" s="41">
        <v>5</v>
      </c>
      <c r="AN77" s="34">
        <v>10</v>
      </c>
      <c r="AO77" s="48">
        <f t="shared" si="34"/>
        <v>35</v>
      </c>
      <c r="AP77" s="34" t="s">
        <v>276</v>
      </c>
      <c r="AQ77" s="34">
        <v>20</v>
      </c>
      <c r="AR77" s="35">
        <f t="shared" si="30"/>
        <v>160</v>
      </c>
      <c r="AS77" s="41">
        <v>5</v>
      </c>
      <c r="AT77" s="41">
        <v>5</v>
      </c>
      <c r="AU77" s="41">
        <v>5</v>
      </c>
      <c r="AV77" s="41">
        <v>5</v>
      </c>
      <c r="AW77" s="41">
        <v>5</v>
      </c>
      <c r="AX77" s="34">
        <v>10</v>
      </c>
      <c r="AY77" s="34">
        <f t="shared" si="31"/>
        <v>35</v>
      </c>
      <c r="AZ77" s="34" t="s">
        <v>276</v>
      </c>
      <c r="BA77" s="36">
        <v>5</v>
      </c>
      <c r="BB77" s="41">
        <v>5</v>
      </c>
      <c r="BC77" s="41">
        <v>5</v>
      </c>
      <c r="BD77" s="41">
        <v>5</v>
      </c>
      <c r="BE77" s="41">
        <v>5</v>
      </c>
      <c r="BF77" s="36">
        <v>10</v>
      </c>
      <c r="BG77" s="36">
        <f t="shared" si="35"/>
        <v>35</v>
      </c>
      <c r="BH77" s="45" t="s">
        <v>276</v>
      </c>
      <c r="BI77" s="41">
        <v>5</v>
      </c>
      <c r="BJ77" s="36">
        <v>5</v>
      </c>
      <c r="BK77" s="41">
        <v>5</v>
      </c>
      <c r="BL77" s="41">
        <v>5</v>
      </c>
      <c r="BM77" s="40">
        <v>5</v>
      </c>
      <c r="BN77" s="36">
        <v>10</v>
      </c>
      <c r="BO77" s="50">
        <f t="shared" si="36"/>
        <v>35</v>
      </c>
      <c r="BP77" s="46" t="s">
        <v>276</v>
      </c>
      <c r="BQ77" s="47">
        <v>5</v>
      </c>
      <c r="BR77" s="54">
        <v>5</v>
      </c>
      <c r="BS77" s="47">
        <v>5</v>
      </c>
      <c r="BT77" s="47">
        <v>5</v>
      </c>
      <c r="BU77" s="47">
        <v>5</v>
      </c>
      <c r="BV77" s="47">
        <v>5</v>
      </c>
      <c r="BW77" s="36">
        <f t="shared" si="37"/>
        <v>30</v>
      </c>
      <c r="BX77" s="36">
        <v>20</v>
      </c>
      <c r="BY77" s="36">
        <f>AY77+BG77+BO77+BW77+BX77</f>
        <v>155</v>
      </c>
      <c r="BZ77" s="46" t="s">
        <v>277</v>
      </c>
      <c r="CA77" s="47">
        <v>5</v>
      </c>
      <c r="CB77" s="47">
        <v>5</v>
      </c>
      <c r="CC77" s="47">
        <v>5</v>
      </c>
      <c r="CD77" s="47">
        <v>5</v>
      </c>
      <c r="CE77" s="47">
        <v>5</v>
      </c>
      <c r="CF77" s="34"/>
      <c r="CG77" s="34"/>
      <c r="CH77" s="35"/>
    </row>
    <row r="78" spans="1:86" ht="13">
      <c r="A78" s="36">
        <v>75</v>
      </c>
      <c r="B78" s="37" t="s">
        <v>446</v>
      </c>
      <c r="C78" s="36">
        <v>7</v>
      </c>
      <c r="E78" s="36" t="s">
        <v>428</v>
      </c>
      <c r="F78" s="36" t="s">
        <v>395</v>
      </c>
      <c r="G78" s="36" t="s">
        <v>444</v>
      </c>
      <c r="H78" s="39" t="s">
        <v>445</v>
      </c>
      <c r="I78" s="40" t="s">
        <v>337</v>
      </c>
      <c r="J78" s="40">
        <f t="shared" si="28"/>
        <v>245</v>
      </c>
      <c r="K78" s="41">
        <v>5</v>
      </c>
      <c r="L78" s="41">
        <v>5</v>
      </c>
      <c r="M78" s="41">
        <v>5</v>
      </c>
      <c r="N78" s="41">
        <v>5</v>
      </c>
      <c r="O78" s="41">
        <v>5</v>
      </c>
      <c r="P78" s="41">
        <v>10</v>
      </c>
      <c r="Q78" s="43">
        <f t="shared" si="29"/>
        <v>35</v>
      </c>
      <c r="R78" s="34" t="s">
        <v>276</v>
      </c>
      <c r="S78" s="41">
        <v>5</v>
      </c>
      <c r="T78" s="41">
        <v>5</v>
      </c>
      <c r="U78" s="41">
        <v>5</v>
      </c>
      <c r="V78" s="41">
        <v>5</v>
      </c>
      <c r="W78" s="41">
        <v>5</v>
      </c>
      <c r="X78" s="36">
        <v>10</v>
      </c>
      <c r="Y78" s="36">
        <f t="shared" si="32"/>
        <v>35</v>
      </c>
      <c r="Z78" s="46" t="s">
        <v>276</v>
      </c>
      <c r="AA78" s="41">
        <v>5</v>
      </c>
      <c r="AB78" s="41">
        <v>5</v>
      </c>
      <c r="AC78" s="41">
        <v>5</v>
      </c>
      <c r="AD78" s="41">
        <v>5</v>
      </c>
      <c r="AE78" s="41">
        <v>5</v>
      </c>
      <c r="AF78" s="34">
        <v>10</v>
      </c>
      <c r="AG78" s="36">
        <f t="shared" si="33"/>
        <v>35</v>
      </c>
      <c r="AH78" s="34" t="s">
        <v>276</v>
      </c>
      <c r="AI78" s="41">
        <v>5</v>
      </c>
      <c r="AJ78" s="56">
        <v>5</v>
      </c>
      <c r="AK78" s="56">
        <v>5</v>
      </c>
      <c r="AL78" s="56" t="s">
        <v>314</v>
      </c>
      <c r="AM78" s="36">
        <v>5</v>
      </c>
      <c r="AN78" s="35"/>
      <c r="AO78" s="48">
        <f t="shared" si="34"/>
        <v>20</v>
      </c>
      <c r="AP78" s="34"/>
      <c r="AQ78" s="51"/>
      <c r="AR78" s="35">
        <f t="shared" si="30"/>
        <v>125</v>
      </c>
      <c r="AS78" s="36">
        <v>5</v>
      </c>
      <c r="AT78" s="36">
        <v>5</v>
      </c>
      <c r="AU78" s="36">
        <v>5</v>
      </c>
      <c r="AV78" s="41" t="s">
        <v>314</v>
      </c>
      <c r="AW78" s="36">
        <v>5</v>
      </c>
      <c r="AX78" s="34"/>
      <c r="AY78" s="34">
        <f t="shared" si="31"/>
        <v>20</v>
      </c>
      <c r="AZ78" s="35"/>
      <c r="BA78" s="36">
        <v>5</v>
      </c>
      <c r="BB78" s="36">
        <v>5</v>
      </c>
      <c r="BC78" s="36">
        <v>5</v>
      </c>
      <c r="BD78" s="36">
        <v>5</v>
      </c>
      <c r="BE78" s="36">
        <v>5</v>
      </c>
      <c r="BF78" s="36">
        <v>10</v>
      </c>
      <c r="BG78" s="36">
        <f t="shared" si="35"/>
        <v>35</v>
      </c>
      <c r="BH78" s="45" t="s">
        <v>276</v>
      </c>
      <c r="BI78" s="41">
        <v>5</v>
      </c>
      <c r="BJ78" s="36">
        <v>5</v>
      </c>
      <c r="BK78" s="41">
        <v>5</v>
      </c>
      <c r="BL78" s="36">
        <v>5</v>
      </c>
      <c r="BM78" s="40">
        <v>5</v>
      </c>
      <c r="BN78" s="36">
        <v>10</v>
      </c>
      <c r="BO78" s="50">
        <f t="shared" si="36"/>
        <v>35</v>
      </c>
      <c r="BP78" s="46" t="s">
        <v>276</v>
      </c>
      <c r="BQ78" s="54">
        <v>5</v>
      </c>
      <c r="BR78" s="54">
        <v>5</v>
      </c>
      <c r="BS78" s="54">
        <v>5</v>
      </c>
      <c r="BT78" s="54">
        <v>5</v>
      </c>
      <c r="BU78" s="47">
        <v>5</v>
      </c>
      <c r="BV78" s="47">
        <v>5</v>
      </c>
      <c r="BW78" s="36">
        <f t="shared" si="37"/>
        <v>30</v>
      </c>
      <c r="BX78" s="36"/>
      <c r="BY78" s="36">
        <f>AY78+BG78+BO78+BW78</f>
        <v>120</v>
      </c>
      <c r="BZ78" s="35"/>
      <c r="CA78" s="36">
        <v>5</v>
      </c>
      <c r="CB78" s="36">
        <v>5</v>
      </c>
      <c r="CC78" s="47">
        <v>5</v>
      </c>
      <c r="CD78" s="47">
        <v>5</v>
      </c>
      <c r="CE78" s="47">
        <v>5</v>
      </c>
      <c r="CF78" s="34"/>
      <c r="CG78" s="34"/>
      <c r="CH78" s="35"/>
    </row>
    <row r="79" spans="1:86" ht="13">
      <c r="A79" s="36">
        <v>76</v>
      </c>
      <c r="B79" s="37" t="s">
        <v>447</v>
      </c>
      <c r="C79" s="36">
        <v>7</v>
      </c>
      <c r="E79" s="36" t="s">
        <v>430</v>
      </c>
      <c r="F79" s="36" t="s">
        <v>395</v>
      </c>
      <c r="G79" s="36" t="s">
        <v>444</v>
      </c>
      <c r="H79" s="39" t="s">
        <v>445</v>
      </c>
      <c r="I79" s="40" t="s">
        <v>337</v>
      </c>
      <c r="J79" s="40">
        <f t="shared" si="28"/>
        <v>315</v>
      </c>
      <c r="K79" s="41">
        <v>5</v>
      </c>
      <c r="L79" s="41">
        <v>5</v>
      </c>
      <c r="M79" s="41">
        <v>5</v>
      </c>
      <c r="N79" s="41">
        <v>5</v>
      </c>
      <c r="O79" s="41">
        <v>5</v>
      </c>
      <c r="P79" s="41">
        <v>10</v>
      </c>
      <c r="Q79" s="43">
        <f t="shared" si="29"/>
        <v>35</v>
      </c>
      <c r="R79" s="34" t="s">
        <v>276</v>
      </c>
      <c r="S79" s="41">
        <v>5</v>
      </c>
      <c r="T79" s="41">
        <v>5</v>
      </c>
      <c r="U79" s="41">
        <v>5</v>
      </c>
      <c r="V79" s="41">
        <v>5</v>
      </c>
      <c r="W79" s="41">
        <v>5</v>
      </c>
      <c r="X79" s="36">
        <v>10</v>
      </c>
      <c r="Y79" s="36">
        <f t="shared" si="32"/>
        <v>35</v>
      </c>
      <c r="Z79" s="46" t="s">
        <v>276</v>
      </c>
      <c r="AA79" s="41">
        <v>5</v>
      </c>
      <c r="AB79" s="41">
        <v>5</v>
      </c>
      <c r="AC79" s="41">
        <v>5</v>
      </c>
      <c r="AD79" s="41">
        <v>5</v>
      </c>
      <c r="AE79" s="41">
        <v>5</v>
      </c>
      <c r="AF79" s="34">
        <v>10</v>
      </c>
      <c r="AG79" s="36">
        <f t="shared" si="33"/>
        <v>35</v>
      </c>
      <c r="AH79" s="34" t="s">
        <v>276</v>
      </c>
      <c r="AI79" s="41">
        <v>5</v>
      </c>
      <c r="AJ79" s="56">
        <v>5</v>
      </c>
      <c r="AK79" s="56">
        <v>5</v>
      </c>
      <c r="AL79" s="36">
        <v>5</v>
      </c>
      <c r="AM79" s="36">
        <v>5</v>
      </c>
      <c r="AN79" s="34">
        <v>10</v>
      </c>
      <c r="AO79" s="48">
        <f t="shared" si="34"/>
        <v>35</v>
      </c>
      <c r="AP79" s="34" t="s">
        <v>276</v>
      </c>
      <c r="AQ79" s="34">
        <v>20</v>
      </c>
      <c r="AR79" s="35">
        <f t="shared" si="30"/>
        <v>160</v>
      </c>
      <c r="AS79" s="36">
        <v>5</v>
      </c>
      <c r="AT79" s="36">
        <v>5</v>
      </c>
      <c r="AU79" s="36">
        <v>5</v>
      </c>
      <c r="AV79" s="36">
        <v>5</v>
      </c>
      <c r="AW79" s="36">
        <v>5</v>
      </c>
      <c r="AX79" s="34">
        <v>10</v>
      </c>
      <c r="AY79" s="34">
        <f t="shared" si="31"/>
        <v>35</v>
      </c>
      <c r="AZ79" s="34" t="s">
        <v>276</v>
      </c>
      <c r="BA79" s="36">
        <v>5</v>
      </c>
      <c r="BB79" s="36">
        <v>5</v>
      </c>
      <c r="BC79" s="36">
        <v>5</v>
      </c>
      <c r="BD79" s="36">
        <v>5</v>
      </c>
      <c r="BE79" s="36">
        <v>5</v>
      </c>
      <c r="BF79" s="36">
        <v>10</v>
      </c>
      <c r="BG79" s="36">
        <f t="shared" si="35"/>
        <v>35</v>
      </c>
      <c r="BH79" s="45" t="s">
        <v>276</v>
      </c>
      <c r="BI79" s="41">
        <v>5</v>
      </c>
      <c r="BJ79" s="36">
        <v>5</v>
      </c>
      <c r="BK79" s="36">
        <v>5</v>
      </c>
      <c r="BL79" s="36">
        <v>5</v>
      </c>
      <c r="BM79" s="40">
        <v>5</v>
      </c>
      <c r="BN79" s="36">
        <v>10</v>
      </c>
      <c r="BO79" s="50">
        <f t="shared" si="36"/>
        <v>35</v>
      </c>
      <c r="BP79" s="46" t="s">
        <v>276</v>
      </c>
      <c r="BQ79" s="54">
        <v>5</v>
      </c>
      <c r="BR79" s="54">
        <v>5</v>
      </c>
      <c r="BS79" s="54">
        <v>5</v>
      </c>
      <c r="BT79" s="54">
        <v>5</v>
      </c>
      <c r="BU79" s="47">
        <v>5</v>
      </c>
      <c r="BV79" s="47">
        <v>5</v>
      </c>
      <c r="BW79" s="36">
        <f t="shared" si="37"/>
        <v>30</v>
      </c>
      <c r="BX79" s="36">
        <v>20</v>
      </c>
      <c r="BY79" s="36">
        <f>AY79+BG79+BO79+BW79+BX79</f>
        <v>155</v>
      </c>
      <c r="BZ79" s="46" t="s">
        <v>277</v>
      </c>
      <c r="CA79" s="36">
        <v>5</v>
      </c>
      <c r="CB79" s="36">
        <v>5</v>
      </c>
      <c r="CC79" s="47">
        <v>5</v>
      </c>
      <c r="CD79" s="47">
        <v>5</v>
      </c>
      <c r="CE79" s="47">
        <v>5</v>
      </c>
      <c r="CF79" s="34"/>
      <c r="CG79" s="34"/>
      <c r="CH79" s="35"/>
    </row>
    <row r="80" spans="1:86" ht="13">
      <c r="A80" s="36">
        <v>77</v>
      </c>
      <c r="B80" s="37" t="s">
        <v>448</v>
      </c>
      <c r="C80" s="36">
        <v>7</v>
      </c>
      <c r="E80" s="36" t="s">
        <v>430</v>
      </c>
      <c r="F80" s="36" t="s">
        <v>395</v>
      </c>
      <c r="G80" s="36" t="s">
        <v>444</v>
      </c>
      <c r="H80" s="39" t="s">
        <v>449</v>
      </c>
      <c r="I80" s="40" t="s">
        <v>307</v>
      </c>
      <c r="J80" s="40">
        <f t="shared" si="28"/>
        <v>315</v>
      </c>
      <c r="K80" s="41">
        <v>5</v>
      </c>
      <c r="L80" s="41">
        <v>5</v>
      </c>
      <c r="M80" s="41">
        <v>5</v>
      </c>
      <c r="N80" s="41">
        <v>5</v>
      </c>
      <c r="O80" s="41">
        <v>5</v>
      </c>
      <c r="P80" s="41">
        <v>10</v>
      </c>
      <c r="Q80" s="43">
        <f t="shared" si="29"/>
        <v>35</v>
      </c>
      <c r="R80" s="34" t="s">
        <v>276</v>
      </c>
      <c r="S80" s="41">
        <v>5</v>
      </c>
      <c r="T80" s="41">
        <v>5</v>
      </c>
      <c r="U80" s="41">
        <v>5</v>
      </c>
      <c r="V80" s="41">
        <v>5</v>
      </c>
      <c r="W80" s="41">
        <v>5</v>
      </c>
      <c r="X80" s="36">
        <v>10</v>
      </c>
      <c r="Y80" s="36">
        <f t="shared" si="32"/>
        <v>35</v>
      </c>
      <c r="Z80" s="46" t="s">
        <v>276</v>
      </c>
      <c r="AA80" s="41">
        <v>5</v>
      </c>
      <c r="AB80" s="41">
        <v>5</v>
      </c>
      <c r="AC80" s="41">
        <v>5</v>
      </c>
      <c r="AD80" s="41">
        <v>5</v>
      </c>
      <c r="AE80" s="41">
        <v>5</v>
      </c>
      <c r="AF80" s="34">
        <v>10</v>
      </c>
      <c r="AG80" s="36">
        <f t="shared" si="33"/>
        <v>35</v>
      </c>
      <c r="AH80" s="34" t="s">
        <v>276</v>
      </c>
      <c r="AI80" s="41">
        <v>5</v>
      </c>
      <c r="AJ80" s="56">
        <v>5</v>
      </c>
      <c r="AK80" s="56">
        <v>5</v>
      </c>
      <c r="AL80" s="36">
        <v>5</v>
      </c>
      <c r="AM80" s="36">
        <v>5</v>
      </c>
      <c r="AN80" s="34">
        <v>10</v>
      </c>
      <c r="AO80" s="48">
        <f t="shared" si="34"/>
        <v>35</v>
      </c>
      <c r="AP80" s="34" t="s">
        <v>276</v>
      </c>
      <c r="AQ80" s="34">
        <v>20</v>
      </c>
      <c r="AR80" s="35">
        <f t="shared" si="30"/>
        <v>160</v>
      </c>
      <c r="AS80" s="36">
        <v>5</v>
      </c>
      <c r="AT80" s="36">
        <v>5</v>
      </c>
      <c r="AU80" s="36">
        <v>5</v>
      </c>
      <c r="AV80" s="36">
        <v>5</v>
      </c>
      <c r="AW80" s="36">
        <v>5</v>
      </c>
      <c r="AX80" s="34">
        <v>10</v>
      </c>
      <c r="AY80" s="34">
        <f t="shared" si="31"/>
        <v>35</v>
      </c>
      <c r="AZ80" s="34" t="s">
        <v>276</v>
      </c>
      <c r="BA80" s="36">
        <v>5</v>
      </c>
      <c r="BB80" s="36">
        <v>5</v>
      </c>
      <c r="BC80" s="36">
        <v>5</v>
      </c>
      <c r="BD80" s="36">
        <v>5</v>
      </c>
      <c r="BE80" s="36">
        <v>5</v>
      </c>
      <c r="BF80" s="36">
        <v>10</v>
      </c>
      <c r="BG80" s="36">
        <f t="shared" si="35"/>
        <v>35</v>
      </c>
      <c r="BH80" s="45" t="s">
        <v>276</v>
      </c>
      <c r="BI80" s="41">
        <v>5</v>
      </c>
      <c r="BJ80" s="36">
        <v>5</v>
      </c>
      <c r="BK80" s="36">
        <v>5</v>
      </c>
      <c r="BL80" s="36">
        <v>5</v>
      </c>
      <c r="BM80" s="40">
        <v>5</v>
      </c>
      <c r="BN80" s="36">
        <v>10</v>
      </c>
      <c r="BO80" s="50">
        <f t="shared" si="36"/>
        <v>35</v>
      </c>
      <c r="BP80" s="46" t="s">
        <v>276</v>
      </c>
      <c r="BQ80" s="54">
        <v>5</v>
      </c>
      <c r="BR80" s="54">
        <v>5</v>
      </c>
      <c r="BS80" s="54">
        <v>5</v>
      </c>
      <c r="BT80" s="54">
        <v>5</v>
      </c>
      <c r="BU80" s="47">
        <v>5</v>
      </c>
      <c r="BV80" s="47">
        <v>5</v>
      </c>
      <c r="BW80" s="36">
        <f t="shared" si="37"/>
        <v>30</v>
      </c>
      <c r="BX80" s="36">
        <v>20</v>
      </c>
      <c r="BY80" s="36">
        <f>AY80+BG80+BO80+BW80+BX80</f>
        <v>155</v>
      </c>
      <c r="BZ80" s="46" t="s">
        <v>277</v>
      </c>
      <c r="CA80" s="36">
        <v>5</v>
      </c>
      <c r="CB80" s="36">
        <v>5</v>
      </c>
      <c r="CC80" s="47">
        <v>5</v>
      </c>
      <c r="CD80" s="47">
        <v>5</v>
      </c>
      <c r="CE80" s="47">
        <v>5</v>
      </c>
      <c r="CF80" s="34"/>
      <c r="CG80" s="34"/>
      <c r="CH80" s="35"/>
    </row>
    <row r="81" spans="1:94" ht="13">
      <c r="A81" s="36">
        <v>78</v>
      </c>
      <c r="B81" s="37" t="s">
        <v>450</v>
      </c>
      <c r="C81" s="36">
        <v>7</v>
      </c>
      <c r="E81" s="36" t="s">
        <v>430</v>
      </c>
      <c r="F81" s="36" t="s">
        <v>395</v>
      </c>
      <c r="G81" s="36" t="s">
        <v>451</v>
      </c>
      <c r="H81" s="39" t="s">
        <v>452</v>
      </c>
      <c r="I81" s="40" t="s">
        <v>330</v>
      </c>
      <c r="J81" s="40">
        <f t="shared" si="28"/>
        <v>315</v>
      </c>
      <c r="K81" s="41">
        <v>5</v>
      </c>
      <c r="L81" s="41">
        <v>5</v>
      </c>
      <c r="M81" s="41">
        <v>5</v>
      </c>
      <c r="N81" s="41">
        <v>5</v>
      </c>
      <c r="O81" s="41">
        <v>5</v>
      </c>
      <c r="P81" s="41">
        <v>10</v>
      </c>
      <c r="Q81" s="43">
        <f t="shared" si="29"/>
        <v>35</v>
      </c>
      <c r="R81" s="34" t="s">
        <v>276</v>
      </c>
      <c r="S81" s="41">
        <v>5</v>
      </c>
      <c r="T81" s="41">
        <v>5</v>
      </c>
      <c r="U81" s="41">
        <v>5</v>
      </c>
      <c r="V81" s="41">
        <v>5</v>
      </c>
      <c r="W81" s="41">
        <v>5</v>
      </c>
      <c r="X81" s="36">
        <v>10</v>
      </c>
      <c r="Y81" s="36">
        <f t="shared" si="32"/>
        <v>35</v>
      </c>
      <c r="Z81" s="46" t="s">
        <v>276</v>
      </c>
      <c r="AA81" s="41">
        <v>5</v>
      </c>
      <c r="AB81" s="41">
        <v>5</v>
      </c>
      <c r="AC81" s="41">
        <v>5</v>
      </c>
      <c r="AD81" s="41">
        <v>5</v>
      </c>
      <c r="AE81" s="41">
        <v>5</v>
      </c>
      <c r="AF81" s="34">
        <v>10</v>
      </c>
      <c r="AG81" s="36">
        <f t="shared" si="33"/>
        <v>35</v>
      </c>
      <c r="AH81" s="34" t="s">
        <v>276</v>
      </c>
      <c r="AI81" s="41">
        <v>5</v>
      </c>
      <c r="AJ81" s="56">
        <v>5</v>
      </c>
      <c r="AK81" s="56">
        <v>5</v>
      </c>
      <c r="AL81" s="36">
        <v>5</v>
      </c>
      <c r="AM81" s="36">
        <v>5</v>
      </c>
      <c r="AN81" s="34">
        <v>10</v>
      </c>
      <c r="AO81" s="48">
        <f t="shared" si="34"/>
        <v>35</v>
      </c>
      <c r="AP81" s="34" t="s">
        <v>276</v>
      </c>
      <c r="AQ81" s="34">
        <v>20</v>
      </c>
      <c r="AR81" s="35">
        <f t="shared" si="30"/>
        <v>160</v>
      </c>
      <c r="AS81" s="36">
        <v>5</v>
      </c>
      <c r="AT81" s="36">
        <v>5</v>
      </c>
      <c r="AU81" s="36">
        <v>5</v>
      </c>
      <c r="AV81" s="36">
        <v>5</v>
      </c>
      <c r="AW81" s="36">
        <v>5</v>
      </c>
      <c r="AX81" s="34">
        <v>10</v>
      </c>
      <c r="AY81" s="34">
        <f t="shared" si="31"/>
        <v>35</v>
      </c>
      <c r="AZ81" s="34" t="s">
        <v>276</v>
      </c>
      <c r="BA81" s="36">
        <v>5</v>
      </c>
      <c r="BB81" s="36">
        <v>5</v>
      </c>
      <c r="BC81" s="36">
        <v>5</v>
      </c>
      <c r="BD81" s="36">
        <v>5</v>
      </c>
      <c r="BE81" s="36">
        <v>5</v>
      </c>
      <c r="BF81" s="36">
        <v>10</v>
      </c>
      <c r="BG81" s="36">
        <f t="shared" si="35"/>
        <v>35</v>
      </c>
      <c r="BH81" s="45" t="s">
        <v>276</v>
      </c>
      <c r="BI81" s="41">
        <v>5</v>
      </c>
      <c r="BJ81" s="36">
        <v>5</v>
      </c>
      <c r="BK81" s="36">
        <v>5</v>
      </c>
      <c r="BL81" s="36">
        <v>5</v>
      </c>
      <c r="BM81" s="40">
        <v>5</v>
      </c>
      <c r="BN81" s="36">
        <v>10</v>
      </c>
      <c r="BO81" s="50">
        <f t="shared" si="36"/>
        <v>35</v>
      </c>
      <c r="BP81" s="46" t="s">
        <v>276</v>
      </c>
      <c r="BQ81" s="54">
        <v>5</v>
      </c>
      <c r="BR81" s="54">
        <v>5</v>
      </c>
      <c r="BS81" s="54">
        <v>5</v>
      </c>
      <c r="BT81" s="54">
        <v>5</v>
      </c>
      <c r="BU81" s="47">
        <v>5</v>
      </c>
      <c r="BV81" s="47">
        <v>5</v>
      </c>
      <c r="BW81" s="36">
        <f t="shared" si="37"/>
        <v>30</v>
      </c>
      <c r="BX81" s="36">
        <v>20</v>
      </c>
      <c r="BY81" s="36">
        <f>AY81+BG81+BO81+BW81+BX81</f>
        <v>155</v>
      </c>
      <c r="BZ81" s="46" t="s">
        <v>277</v>
      </c>
      <c r="CA81" s="36">
        <v>5</v>
      </c>
      <c r="CB81" s="36">
        <v>5</v>
      </c>
      <c r="CC81" s="47">
        <v>5</v>
      </c>
      <c r="CD81" s="47">
        <v>5</v>
      </c>
      <c r="CE81" s="47">
        <v>5</v>
      </c>
      <c r="CF81" s="34"/>
      <c r="CG81" s="34"/>
      <c r="CH81" s="35"/>
    </row>
    <row r="82" spans="1:94" ht="13">
      <c r="A82" s="36">
        <v>79</v>
      </c>
      <c r="B82" s="37" t="s">
        <v>453</v>
      </c>
      <c r="C82" s="36">
        <v>7</v>
      </c>
      <c r="E82" s="36" t="s">
        <v>430</v>
      </c>
      <c r="F82" s="36" t="s">
        <v>395</v>
      </c>
      <c r="G82" s="36" t="s">
        <v>451</v>
      </c>
      <c r="H82" s="39" t="s">
        <v>454</v>
      </c>
      <c r="I82" s="40" t="s">
        <v>302</v>
      </c>
      <c r="J82" s="40">
        <f t="shared" si="28"/>
        <v>195</v>
      </c>
      <c r="K82" s="41">
        <v>5</v>
      </c>
      <c r="L82" s="41">
        <v>5</v>
      </c>
      <c r="M82" s="41">
        <v>5</v>
      </c>
      <c r="N82" s="41">
        <v>5</v>
      </c>
      <c r="O82" s="41">
        <v>5</v>
      </c>
      <c r="P82" s="41">
        <v>10</v>
      </c>
      <c r="Q82" s="43">
        <f t="shared" si="29"/>
        <v>35</v>
      </c>
      <c r="R82" s="34" t="s">
        <v>276</v>
      </c>
      <c r="S82" s="41">
        <v>5</v>
      </c>
      <c r="T82" s="41">
        <v>5</v>
      </c>
      <c r="U82" s="41">
        <v>5</v>
      </c>
      <c r="V82" s="41" t="s">
        <v>292</v>
      </c>
      <c r="W82" s="41">
        <v>5</v>
      </c>
      <c r="X82" s="34"/>
      <c r="Y82" s="36">
        <f t="shared" si="32"/>
        <v>20</v>
      </c>
      <c r="Z82" s="34"/>
      <c r="AA82" s="41" t="s">
        <v>314</v>
      </c>
      <c r="AB82" s="41" t="s">
        <v>314</v>
      </c>
      <c r="AC82" s="41">
        <v>5</v>
      </c>
      <c r="AD82" s="41">
        <v>5</v>
      </c>
      <c r="AE82" s="41" t="s">
        <v>292</v>
      </c>
      <c r="AF82" s="34"/>
      <c r="AG82" s="36">
        <f t="shared" si="33"/>
        <v>10</v>
      </c>
      <c r="AH82" s="34"/>
      <c r="AI82" s="41">
        <v>5</v>
      </c>
      <c r="AJ82" s="56">
        <v>5</v>
      </c>
      <c r="AK82" s="56">
        <v>5</v>
      </c>
      <c r="AL82" s="56">
        <v>5</v>
      </c>
      <c r="AM82" s="36">
        <v>5</v>
      </c>
      <c r="AN82" s="34">
        <v>10</v>
      </c>
      <c r="AO82" s="48">
        <f t="shared" si="34"/>
        <v>35</v>
      </c>
      <c r="AP82" s="34" t="s">
        <v>276</v>
      </c>
      <c r="AQ82" s="51"/>
      <c r="AR82" s="35">
        <f t="shared" si="30"/>
        <v>100</v>
      </c>
      <c r="AS82" s="36">
        <v>5</v>
      </c>
      <c r="AT82" s="36">
        <v>5</v>
      </c>
      <c r="AU82" s="36">
        <v>5</v>
      </c>
      <c r="AV82" s="36">
        <v>5</v>
      </c>
      <c r="AW82" s="36">
        <v>5</v>
      </c>
      <c r="AX82" s="34">
        <v>10</v>
      </c>
      <c r="AY82" s="34">
        <f t="shared" si="31"/>
        <v>35</v>
      </c>
      <c r="AZ82" s="34" t="s">
        <v>276</v>
      </c>
      <c r="BA82" s="36">
        <v>5</v>
      </c>
      <c r="BB82" s="36">
        <v>5</v>
      </c>
      <c r="BC82" s="36">
        <v>5</v>
      </c>
      <c r="BD82" s="36">
        <v>5</v>
      </c>
      <c r="BE82" s="36">
        <v>5</v>
      </c>
      <c r="BF82" s="36">
        <v>10</v>
      </c>
      <c r="BG82" s="36">
        <f t="shared" si="35"/>
        <v>35</v>
      </c>
      <c r="BH82" s="45" t="s">
        <v>276</v>
      </c>
      <c r="BI82" s="41">
        <v>5</v>
      </c>
      <c r="BJ82" s="41" t="s">
        <v>292</v>
      </c>
      <c r="BK82" s="41" t="s">
        <v>314</v>
      </c>
      <c r="BL82" s="41">
        <v>5</v>
      </c>
      <c r="BM82" s="41">
        <v>5</v>
      </c>
      <c r="BN82" s="34"/>
      <c r="BO82" s="36">
        <f t="shared" si="36"/>
        <v>15</v>
      </c>
      <c r="BP82" s="34"/>
      <c r="BQ82" s="41" t="s">
        <v>292</v>
      </c>
      <c r="BR82" s="41" t="s">
        <v>292</v>
      </c>
      <c r="BS82" s="41" t="s">
        <v>292</v>
      </c>
      <c r="BT82" s="41">
        <v>5</v>
      </c>
      <c r="BU82" s="47">
        <v>5</v>
      </c>
      <c r="BV82" s="34"/>
      <c r="BW82" s="36">
        <f t="shared" si="37"/>
        <v>10</v>
      </c>
      <c r="BX82" s="36"/>
      <c r="BY82" s="36">
        <f>AY82+BG82+BO82+BW82</f>
        <v>95</v>
      </c>
      <c r="BZ82" s="35"/>
      <c r="CA82" s="47" t="s">
        <v>314</v>
      </c>
      <c r="CB82" s="47" t="s">
        <v>314</v>
      </c>
      <c r="CC82" s="47" t="s">
        <v>314</v>
      </c>
      <c r="CD82" s="47" t="s">
        <v>314</v>
      </c>
      <c r="CE82" s="47">
        <v>5</v>
      </c>
      <c r="CF82" s="34"/>
      <c r="CG82" s="34"/>
      <c r="CH82" s="35"/>
    </row>
    <row r="83" spans="1:94" ht="13">
      <c r="A83" s="36">
        <v>80</v>
      </c>
      <c r="B83" s="37" t="s">
        <v>455</v>
      </c>
      <c r="C83" s="36">
        <v>7</v>
      </c>
      <c r="E83" s="36" t="s">
        <v>421</v>
      </c>
      <c r="F83" s="36" t="s">
        <v>395</v>
      </c>
      <c r="G83" s="36" t="s">
        <v>451</v>
      </c>
      <c r="H83" s="39" t="s">
        <v>445</v>
      </c>
      <c r="I83" s="40" t="s">
        <v>302</v>
      </c>
      <c r="J83" s="40">
        <f t="shared" si="28"/>
        <v>265</v>
      </c>
      <c r="K83" s="41">
        <v>5</v>
      </c>
      <c r="L83" s="41">
        <v>5</v>
      </c>
      <c r="M83" s="41">
        <v>5</v>
      </c>
      <c r="N83" s="41">
        <v>5</v>
      </c>
      <c r="O83" s="41">
        <v>5</v>
      </c>
      <c r="P83" s="41">
        <v>10</v>
      </c>
      <c r="Q83" s="43">
        <f t="shared" si="29"/>
        <v>35</v>
      </c>
      <c r="R83" s="34" t="s">
        <v>276</v>
      </c>
      <c r="S83" s="41">
        <v>5</v>
      </c>
      <c r="T83" s="41">
        <v>5</v>
      </c>
      <c r="U83" s="41">
        <v>5</v>
      </c>
      <c r="V83" s="41">
        <v>5</v>
      </c>
      <c r="W83" s="41">
        <v>5</v>
      </c>
      <c r="X83" s="36">
        <v>10</v>
      </c>
      <c r="Y83" s="36">
        <f t="shared" si="32"/>
        <v>35</v>
      </c>
      <c r="Z83" s="46" t="s">
        <v>276</v>
      </c>
      <c r="AA83" s="41">
        <v>5</v>
      </c>
      <c r="AB83" s="41">
        <v>5</v>
      </c>
      <c r="AC83" s="41">
        <v>5</v>
      </c>
      <c r="AD83" s="41">
        <v>5</v>
      </c>
      <c r="AE83" s="41">
        <v>5</v>
      </c>
      <c r="AF83" s="34">
        <v>10</v>
      </c>
      <c r="AG83" s="36">
        <f t="shared" si="33"/>
        <v>35</v>
      </c>
      <c r="AH83" s="34" t="s">
        <v>276</v>
      </c>
      <c r="AI83" s="41">
        <v>5</v>
      </c>
      <c r="AJ83" s="56">
        <v>5</v>
      </c>
      <c r="AK83" s="56">
        <v>5</v>
      </c>
      <c r="AL83" s="56">
        <v>5</v>
      </c>
      <c r="AM83" s="36">
        <v>5</v>
      </c>
      <c r="AN83" s="34">
        <v>10</v>
      </c>
      <c r="AO83" s="48">
        <f t="shared" si="34"/>
        <v>35</v>
      </c>
      <c r="AP83" s="34" t="s">
        <v>276</v>
      </c>
      <c r="AQ83" s="34">
        <v>20</v>
      </c>
      <c r="AR83" s="35">
        <f t="shared" si="30"/>
        <v>160</v>
      </c>
      <c r="AS83" s="36">
        <v>5</v>
      </c>
      <c r="AT83" s="36">
        <v>5</v>
      </c>
      <c r="AU83" s="36">
        <v>5</v>
      </c>
      <c r="AV83" s="41" t="s">
        <v>314</v>
      </c>
      <c r="AW83" s="36">
        <v>5</v>
      </c>
      <c r="AX83" s="34"/>
      <c r="AY83" s="34">
        <f t="shared" si="31"/>
        <v>20</v>
      </c>
      <c r="AZ83" s="35"/>
      <c r="BA83" s="36">
        <v>5</v>
      </c>
      <c r="BB83" s="36">
        <v>5</v>
      </c>
      <c r="BC83" s="36">
        <v>5</v>
      </c>
      <c r="BD83" s="36">
        <v>5</v>
      </c>
      <c r="BE83" s="36">
        <v>5</v>
      </c>
      <c r="BF83" s="36">
        <v>10</v>
      </c>
      <c r="BG83" s="36">
        <f t="shared" si="35"/>
        <v>35</v>
      </c>
      <c r="BH83" s="45" t="s">
        <v>276</v>
      </c>
      <c r="BI83" s="41">
        <v>5</v>
      </c>
      <c r="BJ83" s="41" t="s">
        <v>314</v>
      </c>
      <c r="BK83" s="36">
        <v>5</v>
      </c>
      <c r="BL83" s="36">
        <v>5</v>
      </c>
      <c r="BM83" s="36">
        <v>5</v>
      </c>
      <c r="BN83" s="34"/>
      <c r="BO83" s="36">
        <f t="shared" si="36"/>
        <v>20</v>
      </c>
      <c r="BP83" s="34"/>
      <c r="BQ83" s="54">
        <v>5</v>
      </c>
      <c r="BR83" s="54">
        <v>5</v>
      </c>
      <c r="BS83" s="54">
        <v>5</v>
      </c>
      <c r="BT83" s="54">
        <v>5</v>
      </c>
      <c r="BU83" s="47">
        <v>5</v>
      </c>
      <c r="BV83" s="47">
        <v>5</v>
      </c>
      <c r="BW83" s="36">
        <f t="shared" si="37"/>
        <v>30</v>
      </c>
      <c r="BX83" s="36"/>
      <c r="BY83" s="36">
        <f>AY83+BG83+BO83+BW83</f>
        <v>105</v>
      </c>
      <c r="BZ83" s="35"/>
      <c r="CA83" s="47" t="s">
        <v>314</v>
      </c>
      <c r="CB83" s="36">
        <v>5</v>
      </c>
      <c r="CC83" s="47" t="s">
        <v>314</v>
      </c>
      <c r="CD83" s="47">
        <v>5</v>
      </c>
      <c r="CE83" s="47">
        <v>5</v>
      </c>
      <c r="CF83" s="34"/>
      <c r="CG83" s="34"/>
      <c r="CH83" s="35"/>
    </row>
    <row r="84" spans="1:94" ht="13" hidden="1">
      <c r="A84" s="57">
        <v>81</v>
      </c>
      <c r="B84" s="57" t="s">
        <v>456</v>
      </c>
      <c r="C84" s="57">
        <v>7</v>
      </c>
      <c r="D84" s="57"/>
      <c r="E84" s="57" t="s">
        <v>428</v>
      </c>
      <c r="F84" s="57" t="s">
        <v>395</v>
      </c>
      <c r="G84" s="57" t="s">
        <v>451</v>
      </c>
      <c r="H84" s="58" t="s">
        <v>445</v>
      </c>
      <c r="I84" s="59" t="s">
        <v>302</v>
      </c>
      <c r="J84" s="59">
        <f t="shared" si="28"/>
        <v>245</v>
      </c>
      <c r="K84" s="61">
        <v>5</v>
      </c>
      <c r="L84" s="61">
        <v>5</v>
      </c>
      <c r="M84" s="61">
        <v>5</v>
      </c>
      <c r="N84" s="61">
        <v>5</v>
      </c>
      <c r="O84" s="61">
        <v>5</v>
      </c>
      <c r="P84" s="61">
        <v>10</v>
      </c>
      <c r="Q84" s="57">
        <f t="shared" si="29"/>
        <v>35</v>
      </c>
      <c r="R84" s="62" t="s">
        <v>276</v>
      </c>
      <c r="S84" s="61">
        <v>5</v>
      </c>
      <c r="T84" s="61">
        <v>5</v>
      </c>
      <c r="U84" s="61">
        <v>5</v>
      </c>
      <c r="V84" s="61">
        <v>5</v>
      </c>
      <c r="W84" s="61">
        <v>5</v>
      </c>
      <c r="X84" s="57">
        <v>10</v>
      </c>
      <c r="Y84" s="57">
        <f t="shared" si="32"/>
        <v>35</v>
      </c>
      <c r="Z84" s="78" t="s">
        <v>276</v>
      </c>
      <c r="AA84" s="61">
        <v>5</v>
      </c>
      <c r="AB84" s="61">
        <v>5</v>
      </c>
      <c r="AC84" s="61">
        <v>5</v>
      </c>
      <c r="AD84" s="61">
        <v>5</v>
      </c>
      <c r="AE84" s="61">
        <v>5</v>
      </c>
      <c r="AF84" s="62">
        <v>10</v>
      </c>
      <c r="AG84" s="57">
        <f t="shared" si="33"/>
        <v>35</v>
      </c>
      <c r="AH84" s="62" t="s">
        <v>276</v>
      </c>
      <c r="AI84" s="61">
        <v>5</v>
      </c>
      <c r="AJ84" s="79" t="s">
        <v>314</v>
      </c>
      <c r="AK84" s="79" t="s">
        <v>314</v>
      </c>
      <c r="AL84" s="79" t="s">
        <v>314</v>
      </c>
      <c r="AM84" s="57">
        <v>5</v>
      </c>
      <c r="AN84" s="64"/>
      <c r="AO84" s="74">
        <f t="shared" si="34"/>
        <v>10</v>
      </c>
      <c r="AP84" s="62"/>
      <c r="AQ84" s="75"/>
      <c r="AR84" s="64">
        <f t="shared" si="30"/>
        <v>115</v>
      </c>
      <c r="AS84" s="57">
        <v>5</v>
      </c>
      <c r="AT84" s="57">
        <v>5</v>
      </c>
      <c r="AU84" s="57">
        <v>5</v>
      </c>
      <c r="AV84" s="57">
        <v>5</v>
      </c>
      <c r="AW84" s="57">
        <v>5</v>
      </c>
      <c r="AX84" s="62">
        <v>10</v>
      </c>
      <c r="AY84" s="62">
        <f t="shared" si="31"/>
        <v>35</v>
      </c>
      <c r="AZ84" s="62" t="s">
        <v>276</v>
      </c>
      <c r="BA84" s="57">
        <v>5</v>
      </c>
      <c r="BB84" s="57">
        <v>5</v>
      </c>
      <c r="BC84" s="57">
        <v>5</v>
      </c>
      <c r="BD84" s="57">
        <v>5</v>
      </c>
      <c r="BE84" s="57">
        <v>5</v>
      </c>
      <c r="BF84" s="57">
        <v>10</v>
      </c>
      <c r="BG84" s="57">
        <f t="shared" si="35"/>
        <v>35</v>
      </c>
      <c r="BH84" s="80" t="s">
        <v>276</v>
      </c>
      <c r="BI84" s="61">
        <v>5</v>
      </c>
      <c r="BJ84" s="57">
        <v>5</v>
      </c>
      <c r="BK84" s="61" t="s">
        <v>292</v>
      </c>
      <c r="BL84" s="57">
        <v>5</v>
      </c>
      <c r="BM84" s="57">
        <v>5</v>
      </c>
      <c r="BN84" s="62"/>
      <c r="BO84" s="57">
        <f t="shared" si="36"/>
        <v>20</v>
      </c>
      <c r="BP84" s="62"/>
      <c r="BQ84" s="61" t="s">
        <v>314</v>
      </c>
      <c r="BR84" s="76">
        <v>5</v>
      </c>
      <c r="BS84" s="76">
        <v>5</v>
      </c>
      <c r="BT84" s="61" t="s">
        <v>314</v>
      </c>
      <c r="BU84" s="81">
        <v>5</v>
      </c>
      <c r="BV84" s="65">
        <v>5</v>
      </c>
      <c r="BW84" s="57">
        <f t="shared" si="37"/>
        <v>20</v>
      </c>
      <c r="BX84" s="66">
        <v>20</v>
      </c>
      <c r="BY84" s="66">
        <f>AY84+BG84+BO84+BW84+BX84</f>
        <v>130</v>
      </c>
      <c r="BZ84" s="67" t="s">
        <v>277</v>
      </c>
      <c r="CA84" s="82" t="s">
        <v>457</v>
      </c>
      <c r="CB84" s="57"/>
      <c r="CC84" s="57"/>
      <c r="CD84" s="57"/>
      <c r="CE84" s="57"/>
      <c r="CF84" s="62"/>
      <c r="CG84" s="62"/>
      <c r="CH84" s="64"/>
      <c r="CI84" s="62"/>
      <c r="CJ84" s="62"/>
      <c r="CK84" s="62"/>
      <c r="CL84" s="62"/>
      <c r="CM84" s="62"/>
      <c r="CN84" s="62"/>
      <c r="CO84" s="62"/>
      <c r="CP84" s="62"/>
    </row>
    <row r="85" spans="1:94" ht="13">
      <c r="A85" s="36">
        <v>82</v>
      </c>
      <c r="B85" s="37" t="s">
        <v>458</v>
      </c>
      <c r="C85" s="36">
        <v>7</v>
      </c>
      <c r="E85" s="36" t="s">
        <v>428</v>
      </c>
      <c r="F85" s="36" t="s">
        <v>395</v>
      </c>
      <c r="G85" s="36" t="s">
        <v>459</v>
      </c>
      <c r="H85" s="39" t="s">
        <v>460</v>
      </c>
      <c r="I85" s="40" t="s">
        <v>302</v>
      </c>
      <c r="J85" s="40">
        <f t="shared" si="28"/>
        <v>315</v>
      </c>
      <c r="K85" s="41">
        <v>5</v>
      </c>
      <c r="L85" s="41">
        <v>5</v>
      </c>
      <c r="M85" s="41">
        <v>5</v>
      </c>
      <c r="N85" s="41">
        <v>5</v>
      </c>
      <c r="O85" s="41">
        <v>5</v>
      </c>
      <c r="P85" s="41">
        <v>10</v>
      </c>
      <c r="Q85" s="43">
        <f t="shared" si="29"/>
        <v>35</v>
      </c>
      <c r="R85" s="34" t="s">
        <v>276</v>
      </c>
      <c r="S85" s="41">
        <v>5</v>
      </c>
      <c r="T85" s="41">
        <v>5</v>
      </c>
      <c r="U85" s="41">
        <v>5</v>
      </c>
      <c r="V85" s="41">
        <v>5</v>
      </c>
      <c r="W85" s="41">
        <v>5</v>
      </c>
      <c r="X85" s="36">
        <v>10</v>
      </c>
      <c r="Y85" s="36">
        <f t="shared" si="32"/>
        <v>35</v>
      </c>
      <c r="Z85" s="46" t="s">
        <v>276</v>
      </c>
      <c r="AA85" s="41">
        <v>5</v>
      </c>
      <c r="AB85" s="41">
        <v>5</v>
      </c>
      <c r="AC85" s="41">
        <v>5</v>
      </c>
      <c r="AD85" s="41">
        <v>5</v>
      </c>
      <c r="AE85" s="41">
        <v>5</v>
      </c>
      <c r="AF85" s="34">
        <v>10</v>
      </c>
      <c r="AG85" s="36">
        <f t="shared" si="33"/>
        <v>35</v>
      </c>
      <c r="AH85" s="34" t="s">
        <v>276</v>
      </c>
      <c r="AI85" s="41">
        <v>5</v>
      </c>
      <c r="AJ85" s="56">
        <v>5</v>
      </c>
      <c r="AK85" s="56">
        <v>5</v>
      </c>
      <c r="AL85" s="36">
        <v>5</v>
      </c>
      <c r="AM85" s="36">
        <v>5</v>
      </c>
      <c r="AN85" s="34">
        <v>10</v>
      </c>
      <c r="AO85" s="48">
        <f t="shared" si="34"/>
        <v>35</v>
      </c>
      <c r="AP85" s="34" t="s">
        <v>276</v>
      </c>
      <c r="AQ85" s="34">
        <v>20</v>
      </c>
      <c r="AR85" s="35">
        <f t="shared" si="30"/>
        <v>160</v>
      </c>
      <c r="AS85" s="36">
        <v>5</v>
      </c>
      <c r="AT85" s="36">
        <v>5</v>
      </c>
      <c r="AU85" s="36">
        <v>5</v>
      </c>
      <c r="AV85" s="36">
        <v>5</v>
      </c>
      <c r="AW85" s="36">
        <v>5</v>
      </c>
      <c r="AX85" s="34">
        <v>10</v>
      </c>
      <c r="AY85" s="34">
        <f t="shared" si="31"/>
        <v>35</v>
      </c>
      <c r="AZ85" s="34" t="s">
        <v>276</v>
      </c>
      <c r="BA85" s="36">
        <v>5</v>
      </c>
      <c r="BB85" s="36">
        <v>5</v>
      </c>
      <c r="BC85" s="36">
        <v>5</v>
      </c>
      <c r="BD85" s="36">
        <v>5</v>
      </c>
      <c r="BE85" s="36">
        <v>5</v>
      </c>
      <c r="BF85" s="36">
        <v>10</v>
      </c>
      <c r="BG85" s="36">
        <f t="shared" si="35"/>
        <v>35</v>
      </c>
      <c r="BH85" s="45" t="s">
        <v>276</v>
      </c>
      <c r="BI85" s="41">
        <v>5</v>
      </c>
      <c r="BJ85" s="36">
        <v>5</v>
      </c>
      <c r="BK85" s="36">
        <v>5</v>
      </c>
      <c r="BL85" s="36">
        <v>5</v>
      </c>
      <c r="BM85" s="40">
        <v>5</v>
      </c>
      <c r="BN85" s="36">
        <v>10</v>
      </c>
      <c r="BO85" s="50">
        <f t="shared" si="36"/>
        <v>35</v>
      </c>
      <c r="BP85" s="46" t="s">
        <v>276</v>
      </c>
      <c r="BQ85" s="54">
        <v>5</v>
      </c>
      <c r="BR85" s="54">
        <v>5</v>
      </c>
      <c r="BS85" s="54">
        <v>5</v>
      </c>
      <c r="BT85" s="41">
        <v>5</v>
      </c>
      <c r="BU85" s="47">
        <v>5</v>
      </c>
      <c r="BV85" s="47">
        <v>5</v>
      </c>
      <c r="BW85" s="36">
        <f t="shared" si="37"/>
        <v>30</v>
      </c>
      <c r="BX85" s="36">
        <v>20</v>
      </c>
      <c r="BY85" s="36">
        <f>AY85+BG85+BO85+BW85+BX85</f>
        <v>155</v>
      </c>
      <c r="BZ85" s="46" t="s">
        <v>277</v>
      </c>
      <c r="CA85" s="36">
        <v>5</v>
      </c>
      <c r="CB85" s="36">
        <v>5</v>
      </c>
      <c r="CC85" s="47">
        <v>5</v>
      </c>
      <c r="CD85" s="47">
        <v>5</v>
      </c>
      <c r="CE85" s="47">
        <v>5</v>
      </c>
      <c r="CF85" s="34"/>
      <c r="CG85" s="34"/>
      <c r="CH85" s="35"/>
    </row>
    <row r="86" spans="1:94" ht="26">
      <c r="A86" s="36">
        <v>83</v>
      </c>
      <c r="B86" s="37" t="s">
        <v>461</v>
      </c>
      <c r="C86" s="36">
        <v>7</v>
      </c>
      <c r="E86" s="36" t="s">
        <v>421</v>
      </c>
      <c r="F86" s="36" t="s">
        <v>395</v>
      </c>
      <c r="G86" s="36" t="s">
        <v>459</v>
      </c>
      <c r="H86" s="39" t="s">
        <v>462</v>
      </c>
      <c r="I86" s="40" t="s">
        <v>302</v>
      </c>
      <c r="J86" s="40">
        <f t="shared" si="28"/>
        <v>315</v>
      </c>
      <c r="K86" s="41">
        <v>5</v>
      </c>
      <c r="L86" s="41">
        <v>5</v>
      </c>
      <c r="M86" s="41">
        <v>5</v>
      </c>
      <c r="N86" s="41">
        <v>5</v>
      </c>
      <c r="O86" s="41">
        <v>5</v>
      </c>
      <c r="P86" s="41">
        <v>10</v>
      </c>
      <c r="Q86" s="43">
        <f t="shared" si="29"/>
        <v>35</v>
      </c>
      <c r="R86" s="34" t="s">
        <v>276</v>
      </c>
      <c r="S86" s="41">
        <v>5</v>
      </c>
      <c r="T86" s="41">
        <v>5</v>
      </c>
      <c r="U86" s="41">
        <v>5</v>
      </c>
      <c r="V86" s="41">
        <v>5</v>
      </c>
      <c r="W86" s="41">
        <v>5</v>
      </c>
      <c r="X86" s="36">
        <v>10</v>
      </c>
      <c r="Y86" s="36">
        <f t="shared" si="32"/>
        <v>35</v>
      </c>
      <c r="Z86" s="46" t="s">
        <v>276</v>
      </c>
      <c r="AA86" s="41">
        <v>5</v>
      </c>
      <c r="AB86" s="41">
        <v>5</v>
      </c>
      <c r="AC86" s="41">
        <v>5</v>
      </c>
      <c r="AD86" s="41">
        <v>5</v>
      </c>
      <c r="AE86" s="41">
        <v>5</v>
      </c>
      <c r="AF86" s="34">
        <v>10</v>
      </c>
      <c r="AG86" s="36">
        <f t="shared" si="33"/>
        <v>35</v>
      </c>
      <c r="AH86" s="34" t="s">
        <v>276</v>
      </c>
      <c r="AI86" s="41">
        <v>5</v>
      </c>
      <c r="AJ86" s="56">
        <v>5</v>
      </c>
      <c r="AK86" s="56">
        <v>5</v>
      </c>
      <c r="AL86" s="36">
        <v>5</v>
      </c>
      <c r="AM86" s="36">
        <v>5</v>
      </c>
      <c r="AN86" s="34">
        <v>10</v>
      </c>
      <c r="AO86" s="48">
        <f t="shared" si="34"/>
        <v>35</v>
      </c>
      <c r="AP86" s="34" t="s">
        <v>276</v>
      </c>
      <c r="AQ86" s="34">
        <v>20</v>
      </c>
      <c r="AR86" s="35">
        <f t="shared" si="30"/>
        <v>160</v>
      </c>
      <c r="AS86" s="36">
        <v>5</v>
      </c>
      <c r="AT86" s="36">
        <v>5</v>
      </c>
      <c r="AU86" s="36">
        <v>5</v>
      </c>
      <c r="AV86" s="36">
        <v>5</v>
      </c>
      <c r="AW86" s="36">
        <v>5</v>
      </c>
      <c r="AX86" s="34">
        <v>10</v>
      </c>
      <c r="AY86" s="34">
        <f t="shared" si="31"/>
        <v>35</v>
      </c>
      <c r="AZ86" s="34" t="s">
        <v>276</v>
      </c>
      <c r="BA86" s="36">
        <v>5</v>
      </c>
      <c r="BB86" s="36">
        <v>5</v>
      </c>
      <c r="BC86" s="36">
        <v>5</v>
      </c>
      <c r="BD86" s="36">
        <v>5</v>
      </c>
      <c r="BE86" s="36">
        <v>5</v>
      </c>
      <c r="BF86" s="36">
        <v>10</v>
      </c>
      <c r="BG86" s="36">
        <f t="shared" si="35"/>
        <v>35</v>
      </c>
      <c r="BH86" s="45" t="s">
        <v>276</v>
      </c>
      <c r="BI86" s="41">
        <v>5</v>
      </c>
      <c r="BJ86" s="36">
        <v>5</v>
      </c>
      <c r="BK86" s="36">
        <v>5</v>
      </c>
      <c r="BL86" s="36">
        <v>5</v>
      </c>
      <c r="BM86" s="40">
        <v>5</v>
      </c>
      <c r="BN86" s="36">
        <v>10</v>
      </c>
      <c r="BO86" s="50">
        <f t="shared" si="36"/>
        <v>35</v>
      </c>
      <c r="BP86" s="46" t="s">
        <v>276</v>
      </c>
      <c r="BQ86" s="54">
        <v>5</v>
      </c>
      <c r="BR86" s="54">
        <v>5</v>
      </c>
      <c r="BS86" s="54">
        <v>5</v>
      </c>
      <c r="BT86" s="54">
        <v>5</v>
      </c>
      <c r="BU86" s="47">
        <v>5</v>
      </c>
      <c r="BV86" s="47">
        <v>5</v>
      </c>
      <c r="BW86" s="36">
        <f t="shared" si="37"/>
        <v>30</v>
      </c>
      <c r="BX86" s="36">
        <v>20</v>
      </c>
      <c r="BY86" s="36">
        <f>AY86+BG86+BO86+BW86+BX86</f>
        <v>155</v>
      </c>
      <c r="BZ86" s="46" t="s">
        <v>277</v>
      </c>
      <c r="CA86" s="36">
        <v>5</v>
      </c>
      <c r="CB86" s="36">
        <v>5</v>
      </c>
      <c r="CC86" s="47">
        <v>5</v>
      </c>
      <c r="CD86" s="47">
        <v>5</v>
      </c>
      <c r="CE86" s="47">
        <v>5</v>
      </c>
      <c r="CF86" s="34"/>
      <c r="CG86" s="34"/>
      <c r="CH86" s="35"/>
    </row>
    <row r="87" spans="1:94" ht="13">
      <c r="A87" s="36">
        <v>84</v>
      </c>
      <c r="B87" s="37" t="s">
        <v>463</v>
      </c>
      <c r="C87" s="36">
        <v>7</v>
      </c>
      <c r="E87" s="36" t="s">
        <v>421</v>
      </c>
      <c r="F87" s="36" t="s">
        <v>395</v>
      </c>
      <c r="G87" s="36" t="s">
        <v>459</v>
      </c>
      <c r="H87" s="39" t="s">
        <v>464</v>
      </c>
      <c r="I87" s="40" t="s">
        <v>302</v>
      </c>
      <c r="J87" s="40">
        <f t="shared" si="28"/>
        <v>315</v>
      </c>
      <c r="K87" s="41">
        <v>5</v>
      </c>
      <c r="L87" s="41">
        <v>5</v>
      </c>
      <c r="M87" s="41">
        <v>5</v>
      </c>
      <c r="N87" s="41">
        <v>5</v>
      </c>
      <c r="O87" s="41">
        <v>5</v>
      </c>
      <c r="P87" s="41">
        <v>10</v>
      </c>
      <c r="Q87" s="43">
        <f t="shared" si="29"/>
        <v>35</v>
      </c>
      <c r="R87" s="34" t="s">
        <v>276</v>
      </c>
      <c r="S87" s="41">
        <v>5</v>
      </c>
      <c r="T87" s="41">
        <v>5</v>
      </c>
      <c r="U87" s="41">
        <v>5</v>
      </c>
      <c r="V87" s="41">
        <v>5</v>
      </c>
      <c r="W87" s="41">
        <v>5</v>
      </c>
      <c r="X87" s="36">
        <v>10</v>
      </c>
      <c r="Y87" s="36">
        <f t="shared" si="32"/>
        <v>35</v>
      </c>
      <c r="Z87" s="46" t="s">
        <v>276</v>
      </c>
      <c r="AA87" s="41">
        <v>5</v>
      </c>
      <c r="AB87" s="41">
        <v>5</v>
      </c>
      <c r="AC87" s="41">
        <v>5</v>
      </c>
      <c r="AD87" s="41">
        <v>5</v>
      </c>
      <c r="AE87" s="41">
        <v>5</v>
      </c>
      <c r="AF87" s="34">
        <v>10</v>
      </c>
      <c r="AG87" s="36">
        <f t="shared" si="33"/>
        <v>35</v>
      </c>
      <c r="AH87" s="34" t="s">
        <v>276</v>
      </c>
      <c r="AI87" s="41">
        <v>5</v>
      </c>
      <c r="AJ87" s="56">
        <v>5</v>
      </c>
      <c r="AK87" s="56">
        <v>5</v>
      </c>
      <c r="AL87" s="36">
        <v>5</v>
      </c>
      <c r="AM87" s="36">
        <v>5</v>
      </c>
      <c r="AN87" s="34">
        <v>10</v>
      </c>
      <c r="AO87" s="48">
        <f t="shared" si="34"/>
        <v>35</v>
      </c>
      <c r="AP87" s="34" t="s">
        <v>276</v>
      </c>
      <c r="AQ87" s="34">
        <v>20</v>
      </c>
      <c r="AR87" s="35">
        <f t="shared" si="30"/>
        <v>160</v>
      </c>
      <c r="AS87" s="36">
        <v>5</v>
      </c>
      <c r="AT87" s="36">
        <v>5</v>
      </c>
      <c r="AU87" s="36">
        <v>5</v>
      </c>
      <c r="AV87" s="36">
        <v>5</v>
      </c>
      <c r="AW87" s="36">
        <v>5</v>
      </c>
      <c r="AX87" s="34">
        <v>10</v>
      </c>
      <c r="AY87" s="34">
        <f t="shared" si="31"/>
        <v>35</v>
      </c>
      <c r="AZ87" s="34" t="s">
        <v>276</v>
      </c>
      <c r="BA87" s="36">
        <v>5</v>
      </c>
      <c r="BB87" s="36">
        <v>5</v>
      </c>
      <c r="BC87" s="36">
        <v>5</v>
      </c>
      <c r="BD87" s="36">
        <v>5</v>
      </c>
      <c r="BE87" s="36">
        <v>5</v>
      </c>
      <c r="BF87" s="36">
        <v>10</v>
      </c>
      <c r="BG87" s="36">
        <f t="shared" si="35"/>
        <v>35</v>
      </c>
      <c r="BH87" s="45" t="s">
        <v>276</v>
      </c>
      <c r="BI87" s="41">
        <v>5</v>
      </c>
      <c r="BJ87" s="36">
        <v>5</v>
      </c>
      <c r="BK87" s="36">
        <v>5</v>
      </c>
      <c r="BL87" s="36">
        <v>5</v>
      </c>
      <c r="BM87" s="40">
        <v>5</v>
      </c>
      <c r="BN87" s="36">
        <v>10</v>
      </c>
      <c r="BO87" s="50">
        <f t="shared" si="36"/>
        <v>35</v>
      </c>
      <c r="BP87" s="46" t="s">
        <v>276</v>
      </c>
      <c r="BQ87" s="54">
        <v>5</v>
      </c>
      <c r="BR87" s="54">
        <v>5</v>
      </c>
      <c r="BS87" s="54">
        <v>5</v>
      </c>
      <c r="BT87" s="54">
        <v>5</v>
      </c>
      <c r="BU87" s="47">
        <v>5</v>
      </c>
      <c r="BV87" s="47">
        <v>5</v>
      </c>
      <c r="BW87" s="36">
        <f t="shared" si="37"/>
        <v>30</v>
      </c>
      <c r="BX87" s="36">
        <v>20</v>
      </c>
      <c r="BY87" s="36">
        <f>AY87+BG87+BO87+BW87+BX87</f>
        <v>155</v>
      </c>
      <c r="BZ87" s="46" t="s">
        <v>277</v>
      </c>
      <c r="CA87" s="36">
        <v>5</v>
      </c>
      <c r="CB87" s="36">
        <v>5</v>
      </c>
      <c r="CC87" s="47">
        <v>5</v>
      </c>
      <c r="CD87" s="47">
        <v>5</v>
      </c>
      <c r="CE87" s="47">
        <v>5</v>
      </c>
      <c r="CF87" s="34"/>
      <c r="CG87" s="34"/>
      <c r="CH87" s="35"/>
    </row>
    <row r="88" spans="1:94" ht="13">
      <c r="A88" s="36">
        <v>85</v>
      </c>
      <c r="B88" s="37" t="s">
        <v>465</v>
      </c>
      <c r="C88" s="36">
        <v>7</v>
      </c>
      <c r="E88" s="36" t="s">
        <v>428</v>
      </c>
      <c r="F88" s="36" t="s">
        <v>395</v>
      </c>
      <c r="G88" s="36" t="s">
        <v>459</v>
      </c>
      <c r="H88" s="39" t="s">
        <v>464</v>
      </c>
      <c r="I88" s="40" t="s">
        <v>302</v>
      </c>
      <c r="J88" s="40">
        <f t="shared" si="28"/>
        <v>280</v>
      </c>
      <c r="K88" s="41">
        <v>5</v>
      </c>
      <c r="L88" s="41">
        <v>5</v>
      </c>
      <c r="M88" s="41">
        <v>5</v>
      </c>
      <c r="N88" s="41">
        <v>5</v>
      </c>
      <c r="O88" s="41">
        <v>5</v>
      </c>
      <c r="P88" s="41">
        <v>10</v>
      </c>
      <c r="Q88" s="43">
        <f t="shared" si="29"/>
        <v>35</v>
      </c>
      <c r="R88" s="34" t="s">
        <v>276</v>
      </c>
      <c r="S88" s="41">
        <v>5</v>
      </c>
      <c r="T88" s="41">
        <v>5</v>
      </c>
      <c r="U88" s="41">
        <v>5</v>
      </c>
      <c r="V88" s="41">
        <v>5</v>
      </c>
      <c r="W88" s="41">
        <v>5</v>
      </c>
      <c r="X88" s="36">
        <v>10</v>
      </c>
      <c r="Y88" s="36">
        <f t="shared" si="32"/>
        <v>35</v>
      </c>
      <c r="Z88" s="46" t="s">
        <v>276</v>
      </c>
      <c r="AA88" s="41">
        <v>5</v>
      </c>
      <c r="AB88" s="41">
        <v>5</v>
      </c>
      <c r="AC88" s="41">
        <v>5</v>
      </c>
      <c r="AD88" s="41">
        <v>5</v>
      </c>
      <c r="AE88" s="41">
        <v>5</v>
      </c>
      <c r="AF88" s="34">
        <v>10</v>
      </c>
      <c r="AG88" s="36">
        <f t="shared" si="33"/>
        <v>35</v>
      </c>
      <c r="AH88" s="34" t="s">
        <v>276</v>
      </c>
      <c r="AI88" s="41">
        <v>5</v>
      </c>
      <c r="AJ88" s="56">
        <v>5</v>
      </c>
      <c r="AK88" s="56">
        <v>5</v>
      </c>
      <c r="AL88" s="36">
        <v>5</v>
      </c>
      <c r="AM88" s="36">
        <v>5</v>
      </c>
      <c r="AN88" s="34">
        <v>10</v>
      </c>
      <c r="AO88" s="48">
        <f t="shared" si="34"/>
        <v>35</v>
      </c>
      <c r="AP88" s="34" t="s">
        <v>276</v>
      </c>
      <c r="AQ88" s="34">
        <v>20</v>
      </c>
      <c r="AR88" s="35">
        <f t="shared" si="30"/>
        <v>160</v>
      </c>
      <c r="AS88" s="56">
        <v>5</v>
      </c>
      <c r="AT88" s="36">
        <v>5</v>
      </c>
      <c r="AU88" s="36">
        <v>5</v>
      </c>
      <c r="AV88" s="36">
        <v>5</v>
      </c>
      <c r="AW88" s="36">
        <v>5</v>
      </c>
      <c r="AX88" s="34">
        <v>10</v>
      </c>
      <c r="AY88" s="34">
        <f t="shared" si="31"/>
        <v>35</v>
      </c>
      <c r="AZ88" s="34" t="s">
        <v>276</v>
      </c>
      <c r="BA88" s="36">
        <v>5</v>
      </c>
      <c r="BB88" s="36">
        <v>5</v>
      </c>
      <c r="BC88" s="36">
        <v>5</v>
      </c>
      <c r="BD88" s="41" t="s">
        <v>314</v>
      </c>
      <c r="BE88" s="36">
        <v>5</v>
      </c>
      <c r="BF88" s="34"/>
      <c r="BG88" s="36">
        <f t="shared" si="35"/>
        <v>20</v>
      </c>
      <c r="BH88" s="35"/>
      <c r="BI88" s="41">
        <v>5</v>
      </c>
      <c r="BJ88" s="36">
        <v>5</v>
      </c>
      <c r="BK88" s="36">
        <v>5</v>
      </c>
      <c r="BL88" s="36">
        <v>5</v>
      </c>
      <c r="BM88" s="40">
        <v>5</v>
      </c>
      <c r="BN88" s="36">
        <v>10</v>
      </c>
      <c r="BO88" s="50">
        <f t="shared" si="36"/>
        <v>35</v>
      </c>
      <c r="BP88" s="46" t="s">
        <v>276</v>
      </c>
      <c r="BQ88" s="54">
        <v>5</v>
      </c>
      <c r="BR88" s="54">
        <v>5</v>
      </c>
      <c r="BS88" s="54">
        <v>5</v>
      </c>
      <c r="BT88" s="54">
        <v>5</v>
      </c>
      <c r="BU88" s="47">
        <v>5</v>
      </c>
      <c r="BV88" s="47">
        <v>5</v>
      </c>
      <c r="BW88" s="36">
        <f t="shared" si="37"/>
        <v>30</v>
      </c>
      <c r="BX88" s="36"/>
      <c r="BY88" s="36">
        <f>AY88+BG88+BO88+BW88</f>
        <v>120</v>
      </c>
      <c r="BZ88" s="35"/>
      <c r="CA88" s="36">
        <v>5</v>
      </c>
      <c r="CB88" s="36">
        <v>5</v>
      </c>
      <c r="CC88" s="47">
        <v>5</v>
      </c>
      <c r="CD88" s="47">
        <v>5</v>
      </c>
      <c r="CE88" s="47">
        <v>5</v>
      </c>
      <c r="CF88" s="34"/>
      <c r="CG88" s="34"/>
      <c r="CH88" s="35"/>
    </row>
    <row r="89" spans="1:94" ht="13">
      <c r="A89" s="36">
        <v>86</v>
      </c>
      <c r="B89" s="37" t="s">
        <v>466</v>
      </c>
      <c r="C89" s="36">
        <v>7</v>
      </c>
      <c r="E89" s="36" t="s">
        <v>421</v>
      </c>
      <c r="F89" s="36" t="s">
        <v>395</v>
      </c>
      <c r="G89" s="36" t="s">
        <v>444</v>
      </c>
      <c r="H89" s="39" t="s">
        <v>445</v>
      </c>
      <c r="I89" s="40" t="s">
        <v>297</v>
      </c>
      <c r="J89" s="40">
        <f t="shared" si="28"/>
        <v>285</v>
      </c>
      <c r="K89" s="41">
        <v>5</v>
      </c>
      <c r="L89" s="41">
        <v>5</v>
      </c>
      <c r="M89" s="41">
        <v>5</v>
      </c>
      <c r="N89" s="41">
        <v>5</v>
      </c>
      <c r="O89" s="41">
        <v>5</v>
      </c>
      <c r="P89" s="41">
        <v>10</v>
      </c>
      <c r="Q89" s="43">
        <f t="shared" si="29"/>
        <v>35</v>
      </c>
      <c r="R89" s="34" t="s">
        <v>276</v>
      </c>
      <c r="S89" s="41">
        <v>5</v>
      </c>
      <c r="T89" s="41">
        <v>5</v>
      </c>
      <c r="U89" s="41">
        <v>5</v>
      </c>
      <c r="V89" s="41">
        <v>5</v>
      </c>
      <c r="W89" s="41">
        <v>5</v>
      </c>
      <c r="X89" s="36">
        <v>10</v>
      </c>
      <c r="Y89" s="36">
        <f t="shared" si="32"/>
        <v>35</v>
      </c>
      <c r="Z89" s="46" t="s">
        <v>276</v>
      </c>
      <c r="AA89" s="41">
        <v>5</v>
      </c>
      <c r="AB89" s="41">
        <v>5</v>
      </c>
      <c r="AC89" s="41">
        <v>5</v>
      </c>
      <c r="AD89" s="41">
        <v>5</v>
      </c>
      <c r="AE89" s="41">
        <v>5</v>
      </c>
      <c r="AF89" s="34">
        <v>10</v>
      </c>
      <c r="AG89" s="36">
        <f t="shared" si="33"/>
        <v>35</v>
      </c>
      <c r="AH89" s="34" t="s">
        <v>276</v>
      </c>
      <c r="AI89" s="41">
        <v>5</v>
      </c>
      <c r="AJ89" s="56">
        <v>5</v>
      </c>
      <c r="AK89" s="56">
        <v>5</v>
      </c>
      <c r="AL89" s="36">
        <v>5</v>
      </c>
      <c r="AM89" s="36">
        <v>5</v>
      </c>
      <c r="AN89" s="34">
        <v>10</v>
      </c>
      <c r="AO89" s="48">
        <f t="shared" si="34"/>
        <v>35</v>
      </c>
      <c r="AP89" s="34" t="s">
        <v>276</v>
      </c>
      <c r="AQ89" s="34">
        <v>20</v>
      </c>
      <c r="AR89" s="35">
        <f t="shared" si="30"/>
        <v>160</v>
      </c>
      <c r="AS89" s="36">
        <v>5</v>
      </c>
      <c r="AT89" s="36">
        <v>5</v>
      </c>
      <c r="AU89" s="36">
        <v>5</v>
      </c>
      <c r="AV89" s="36">
        <v>5</v>
      </c>
      <c r="AW89" s="36">
        <v>5</v>
      </c>
      <c r="AX89" s="34">
        <v>10</v>
      </c>
      <c r="AY89" s="34">
        <f t="shared" si="31"/>
        <v>35</v>
      </c>
      <c r="AZ89" s="34" t="s">
        <v>276</v>
      </c>
      <c r="BA89" s="36">
        <v>5</v>
      </c>
      <c r="BB89" s="36">
        <v>5</v>
      </c>
      <c r="BC89" s="36">
        <v>5</v>
      </c>
      <c r="BD89" s="36">
        <v>5</v>
      </c>
      <c r="BE89" s="36">
        <v>5</v>
      </c>
      <c r="BF89" s="36">
        <v>10</v>
      </c>
      <c r="BG89" s="36">
        <f t="shared" si="35"/>
        <v>35</v>
      </c>
      <c r="BH89" s="45" t="s">
        <v>276</v>
      </c>
      <c r="BI89" s="41">
        <v>5</v>
      </c>
      <c r="BJ89" s="36">
        <v>5</v>
      </c>
      <c r="BK89" s="36">
        <v>5</v>
      </c>
      <c r="BL89" s="36">
        <v>5</v>
      </c>
      <c r="BM89" s="40">
        <v>5</v>
      </c>
      <c r="BN89" s="36">
        <v>10</v>
      </c>
      <c r="BO89" s="50">
        <f t="shared" si="36"/>
        <v>35</v>
      </c>
      <c r="BP89" s="46" t="s">
        <v>276</v>
      </c>
      <c r="BQ89" s="41" t="s">
        <v>314</v>
      </c>
      <c r="BR89" s="54">
        <v>5</v>
      </c>
      <c r="BS89" s="54">
        <v>5</v>
      </c>
      <c r="BT89" s="54">
        <v>5</v>
      </c>
      <c r="BU89" s="47">
        <v>5</v>
      </c>
      <c r="BV89" s="34"/>
      <c r="BW89" s="36">
        <f t="shared" si="37"/>
        <v>20</v>
      </c>
      <c r="BX89" s="36"/>
      <c r="BY89" s="36">
        <f>AY89+BG89+BO89+BW89</f>
        <v>125</v>
      </c>
      <c r="BZ89" s="35"/>
      <c r="CA89" s="36">
        <v>5</v>
      </c>
      <c r="CB89" s="36">
        <v>5</v>
      </c>
      <c r="CC89" s="47">
        <v>5</v>
      </c>
      <c r="CD89" s="47">
        <v>5</v>
      </c>
      <c r="CE89" s="47">
        <v>5</v>
      </c>
      <c r="CF89" s="34"/>
      <c r="CG89" s="34"/>
      <c r="CH89" s="35"/>
    </row>
    <row r="90" spans="1:94" ht="13">
      <c r="A90" s="140" t="s">
        <v>467</v>
      </c>
      <c r="B90" s="141"/>
      <c r="C90" s="141"/>
      <c r="D90" s="141"/>
      <c r="E90" s="141"/>
      <c r="F90" s="141"/>
      <c r="G90" s="141"/>
      <c r="H90" s="142"/>
      <c r="I90" s="83"/>
      <c r="J90" s="83"/>
      <c r="K90" s="83">
        <f>SUM(K4:K89)</f>
        <v>400</v>
      </c>
      <c r="L90" s="83">
        <f>SUM(L4:L89)</f>
        <v>400</v>
      </c>
      <c r="M90" s="84">
        <f>SUM(M4:M89)</f>
        <v>405</v>
      </c>
      <c r="N90" s="84">
        <f>SUM(N4:N89)</f>
        <v>405</v>
      </c>
      <c r="O90" s="84">
        <f>SUM(O4:O89)</f>
        <v>415</v>
      </c>
      <c r="P90" s="84"/>
      <c r="Q90" s="84"/>
      <c r="R90" s="84"/>
      <c r="S90" s="84">
        <f>SUM(S4:S89)</f>
        <v>400</v>
      </c>
      <c r="T90" s="84">
        <f>SUM(T4:T89)</f>
        <v>405</v>
      </c>
      <c r="U90" s="84">
        <f>SUM(U4:U89)</f>
        <v>390</v>
      </c>
      <c r="V90" s="84">
        <f>SUM(V4:V89)</f>
        <v>405</v>
      </c>
      <c r="W90" s="84">
        <f>SUM(W4:W89)</f>
        <v>410</v>
      </c>
      <c r="X90" s="85"/>
      <c r="Y90" s="85"/>
      <c r="Z90" s="85"/>
      <c r="AA90" s="84">
        <f>SUM(AA4:AA89)</f>
        <v>400</v>
      </c>
      <c r="AB90" s="84">
        <f>SUM(AB4:AB89)</f>
        <v>405</v>
      </c>
      <c r="AC90" s="84">
        <f>SUM(AC4:AC89)</f>
        <v>405</v>
      </c>
      <c r="AD90" s="84">
        <f>SUM(AD4:AD89)</f>
        <v>400</v>
      </c>
      <c r="AE90" s="84">
        <f>SUM(AE4:AE89)</f>
        <v>405</v>
      </c>
      <c r="AF90" s="85"/>
      <c r="AG90" s="85"/>
      <c r="AH90" s="85"/>
      <c r="AI90" s="84">
        <f>SUM(AI4:AI89)</f>
        <v>400</v>
      </c>
      <c r="AJ90" s="83">
        <f>SUM(AJ4:AJ89)</f>
        <v>400</v>
      </c>
      <c r="AK90" s="83">
        <f>SUM(AK4:AK89)</f>
        <v>395</v>
      </c>
      <c r="AL90" s="84">
        <f>SUM(AL4:AL89)</f>
        <v>395</v>
      </c>
      <c r="AM90" s="84">
        <f>SUM(AM4:AM89)</f>
        <v>400</v>
      </c>
      <c r="AN90" s="85"/>
      <c r="AO90" s="86"/>
      <c r="AP90" s="86"/>
      <c r="AQ90" s="86"/>
      <c r="AR90" s="87"/>
      <c r="AS90" s="84">
        <f>SUM(AS4:AS89)</f>
        <v>405</v>
      </c>
      <c r="AT90" s="84">
        <f>SUM(AT4:AT89)</f>
        <v>410</v>
      </c>
      <c r="AU90" s="84">
        <f>SUM(AU4:AU89)</f>
        <v>410</v>
      </c>
      <c r="AV90" s="84">
        <f>SUM(AV4:AV89)</f>
        <v>395</v>
      </c>
      <c r="AW90" s="84">
        <f>SUM(AW4:AW89)</f>
        <v>410</v>
      </c>
      <c r="AX90" s="85"/>
      <c r="AY90" s="85"/>
      <c r="AZ90" s="87"/>
      <c r="BA90" s="84">
        <f>SUM(BA4:BA89)</f>
        <v>415</v>
      </c>
      <c r="BB90" s="84">
        <f>SUM(BB4:BB89)</f>
        <v>410</v>
      </c>
      <c r="BC90" s="84">
        <f>SUM(BC4:BC89)</f>
        <v>410</v>
      </c>
      <c r="BD90" s="84">
        <f>SUM(BD4:BD89)</f>
        <v>405</v>
      </c>
      <c r="BE90" s="84">
        <f>SUM(BE4:BE89)</f>
        <v>395</v>
      </c>
      <c r="BF90" s="85"/>
      <c r="BG90" s="85"/>
      <c r="BH90" s="87"/>
      <c r="BI90" s="84">
        <f>SUM(BI4:BI89)</f>
        <v>385</v>
      </c>
      <c r="BJ90" s="84">
        <f>SUM(BJ4:BJ89)</f>
        <v>375</v>
      </c>
      <c r="BK90" s="84">
        <f>SUM(BK4:BK89)</f>
        <v>385</v>
      </c>
      <c r="BL90" s="84">
        <f>SUM(BL4:BL89)</f>
        <v>385</v>
      </c>
      <c r="BM90" s="84">
        <f>SUM(BM4:BM89)</f>
        <v>400</v>
      </c>
      <c r="BN90" s="85"/>
      <c r="BO90" s="88"/>
      <c r="BP90" s="85"/>
      <c r="BQ90" s="83">
        <f>SUM(BQ4:BQ89)</f>
        <v>395</v>
      </c>
      <c r="BR90" s="83">
        <f>SUM(BR4:BR89)</f>
        <v>400</v>
      </c>
      <c r="BS90" s="83">
        <f>SUM(BS4:BS89)</f>
        <v>410</v>
      </c>
      <c r="BT90" s="83">
        <f>SUM(BT4:BT89)</f>
        <v>405</v>
      </c>
      <c r="BU90" s="83">
        <f>SUM(BU4:BU89)</f>
        <v>415</v>
      </c>
      <c r="BV90" s="85"/>
      <c r="BW90" s="85"/>
      <c r="BX90" s="88"/>
      <c r="BY90" s="88"/>
      <c r="BZ90" s="87"/>
      <c r="CA90" s="83">
        <f>SUM(CA4:CA89)</f>
        <v>380</v>
      </c>
      <c r="CB90" s="83">
        <f>SUM(CB4:CB89)</f>
        <v>390</v>
      </c>
      <c r="CC90" s="83">
        <f>SUM(CC4:CC89)</f>
        <v>380</v>
      </c>
      <c r="CD90" s="83">
        <f>SUM(CD4:CD89)</f>
        <v>380</v>
      </c>
      <c r="CE90" s="83">
        <f>SUM(CE4:CE89)</f>
        <v>255</v>
      </c>
      <c r="CF90" s="85"/>
      <c r="CG90" s="85"/>
      <c r="CH90" s="87"/>
      <c r="CI90" s="85"/>
      <c r="CJ90" s="85"/>
      <c r="CK90" s="85"/>
      <c r="CL90" s="85"/>
      <c r="CM90" s="85"/>
      <c r="CN90" s="85"/>
      <c r="CO90" s="85"/>
      <c r="CP90" s="85"/>
    </row>
    <row r="91" spans="1:94" ht="13">
      <c r="A91" s="140" t="s">
        <v>468</v>
      </c>
      <c r="B91" s="141"/>
      <c r="C91" s="141"/>
      <c r="D91" s="141"/>
      <c r="E91" s="141"/>
      <c r="F91" s="141"/>
      <c r="G91" s="141"/>
      <c r="H91" s="142"/>
      <c r="I91" s="83"/>
      <c r="J91" s="83"/>
      <c r="K91" s="83">
        <f>83*5</f>
        <v>415</v>
      </c>
      <c r="L91" s="83">
        <f>83*5</f>
        <v>415</v>
      </c>
      <c r="M91" s="84">
        <f>83*5</f>
        <v>415</v>
      </c>
      <c r="N91" s="84">
        <f>83*5</f>
        <v>415</v>
      </c>
      <c r="O91" s="84">
        <f>83*5</f>
        <v>415</v>
      </c>
      <c r="P91" s="84"/>
      <c r="Q91" s="84"/>
      <c r="R91" s="84"/>
      <c r="S91" s="84">
        <f>83*5</f>
        <v>415</v>
      </c>
      <c r="T91" s="84">
        <f>83*5</f>
        <v>415</v>
      </c>
      <c r="U91" s="84">
        <f>83*5</f>
        <v>415</v>
      </c>
      <c r="V91" s="84">
        <f>83*5</f>
        <v>415</v>
      </c>
      <c r="W91" s="84">
        <f>83*5</f>
        <v>415</v>
      </c>
      <c r="X91" s="85"/>
      <c r="Y91" s="85"/>
      <c r="Z91" s="85"/>
      <c r="AA91" s="84">
        <f>83*5</f>
        <v>415</v>
      </c>
      <c r="AB91" s="84">
        <f>83*5</f>
        <v>415</v>
      </c>
      <c r="AC91" s="84">
        <f>83*5</f>
        <v>415</v>
      </c>
      <c r="AD91" s="84">
        <f>83*5</f>
        <v>415</v>
      </c>
      <c r="AE91" s="84">
        <f>83*5</f>
        <v>415</v>
      </c>
      <c r="AF91" s="85"/>
      <c r="AG91" s="85"/>
      <c r="AH91" s="85"/>
      <c r="AI91" s="84">
        <f>83*5</f>
        <v>415</v>
      </c>
      <c r="AJ91" s="84">
        <f>83*5</f>
        <v>415</v>
      </c>
      <c r="AK91" s="84">
        <f>83*5</f>
        <v>415</v>
      </c>
      <c r="AL91" s="84">
        <f>83*5</f>
        <v>415</v>
      </c>
      <c r="AM91" s="84">
        <f>83*5</f>
        <v>415</v>
      </c>
      <c r="AN91" s="85"/>
      <c r="AO91" s="85"/>
      <c r="AP91" s="85"/>
      <c r="AQ91" s="85"/>
      <c r="AR91" s="87"/>
      <c r="AS91" s="84">
        <f>83*5</f>
        <v>415</v>
      </c>
      <c r="AT91" s="84">
        <f>83*5</f>
        <v>415</v>
      </c>
      <c r="AU91" s="84">
        <f>83*5</f>
        <v>415</v>
      </c>
      <c r="AV91" s="84">
        <f>83*5</f>
        <v>415</v>
      </c>
      <c r="AW91" s="84">
        <f>83*5</f>
        <v>415</v>
      </c>
      <c r="AX91" s="85"/>
      <c r="AY91" s="85"/>
      <c r="AZ91" s="87"/>
      <c r="BA91" s="84">
        <f>83*5</f>
        <v>415</v>
      </c>
      <c r="BB91" s="84">
        <f>83*5</f>
        <v>415</v>
      </c>
      <c r="BC91" s="84">
        <f>83*5</f>
        <v>415</v>
      </c>
      <c r="BD91" s="84">
        <f>83*5</f>
        <v>415</v>
      </c>
      <c r="BE91" s="84">
        <f>83*5</f>
        <v>415</v>
      </c>
      <c r="BF91" s="85"/>
      <c r="BG91" s="85"/>
      <c r="BH91" s="87"/>
      <c r="BI91" s="84">
        <f>83*5</f>
        <v>415</v>
      </c>
      <c r="BJ91" s="84">
        <f>83*5</f>
        <v>415</v>
      </c>
      <c r="BK91" s="84">
        <f>83*5</f>
        <v>415</v>
      </c>
      <c r="BL91" s="84">
        <f>83*5</f>
        <v>415</v>
      </c>
      <c r="BM91" s="84">
        <f>83*5</f>
        <v>415</v>
      </c>
      <c r="BN91" s="85"/>
      <c r="BO91" s="88"/>
      <c r="BP91" s="85"/>
      <c r="BQ91" s="83">
        <f>83*5</f>
        <v>415</v>
      </c>
      <c r="BR91" s="83">
        <f>83*5</f>
        <v>415</v>
      </c>
      <c r="BS91" s="83">
        <f>83*5</f>
        <v>415</v>
      </c>
      <c r="BT91" s="83">
        <f>83*5</f>
        <v>415</v>
      </c>
      <c r="BU91" s="83">
        <f>83*5</f>
        <v>415</v>
      </c>
      <c r="BV91" s="85"/>
      <c r="BW91" s="85"/>
      <c r="BX91" s="88"/>
      <c r="BY91" s="88"/>
      <c r="BZ91" s="87"/>
      <c r="CA91" s="83">
        <f>82*5</f>
        <v>410</v>
      </c>
      <c r="CB91" s="83">
        <f>82*5</f>
        <v>410</v>
      </c>
      <c r="CC91" s="83">
        <f>82*5</f>
        <v>410</v>
      </c>
      <c r="CD91" s="83">
        <f>82*5</f>
        <v>410</v>
      </c>
      <c r="CE91" s="83">
        <f>82*5</f>
        <v>410</v>
      </c>
      <c r="CF91" s="85"/>
      <c r="CG91" s="85"/>
      <c r="CH91" s="87"/>
      <c r="CI91" s="85"/>
      <c r="CJ91" s="85"/>
      <c r="CK91" s="85"/>
      <c r="CL91" s="85"/>
      <c r="CM91" s="85"/>
      <c r="CN91" s="85"/>
      <c r="CO91" s="85"/>
      <c r="CP91" s="85"/>
    </row>
    <row r="92" spans="1:94" ht="13">
      <c r="A92" s="143" t="s">
        <v>469</v>
      </c>
      <c r="B92" s="158"/>
      <c r="C92" s="158"/>
      <c r="D92" s="158"/>
      <c r="E92" s="158"/>
      <c r="F92" s="158"/>
      <c r="G92" s="158"/>
      <c r="H92" s="159"/>
      <c r="I92" s="89"/>
      <c r="J92" s="89"/>
      <c r="K92" s="90">
        <f>K90/K91</f>
        <v>0.96385542168674698</v>
      </c>
      <c r="L92" s="90">
        <f>L90/L91</f>
        <v>0.96385542168674698</v>
      </c>
      <c r="M92" s="91">
        <f>M90/M91</f>
        <v>0.97590361445783136</v>
      </c>
      <c r="N92" s="91">
        <f>N90/N91</f>
        <v>0.97590361445783136</v>
      </c>
      <c r="O92" s="91">
        <f>O90/O91</f>
        <v>1</v>
      </c>
      <c r="P92" s="91"/>
      <c r="Q92" s="92"/>
      <c r="R92" s="91"/>
      <c r="S92" s="91">
        <f>S90/S91</f>
        <v>0.96385542168674698</v>
      </c>
      <c r="T92" s="91">
        <f>T90/T91</f>
        <v>0.97590361445783136</v>
      </c>
      <c r="U92" s="91">
        <f>U90/U91</f>
        <v>0.93975903614457834</v>
      </c>
      <c r="V92" s="91">
        <f>V90/V91</f>
        <v>0.97590361445783136</v>
      </c>
      <c r="W92" s="91">
        <f>W90/W91</f>
        <v>0.98795180722891562</v>
      </c>
      <c r="X92" s="93"/>
      <c r="Y92" s="93"/>
      <c r="Z92" s="93"/>
      <c r="AA92" s="91">
        <f>AA90/AA91</f>
        <v>0.96385542168674698</v>
      </c>
      <c r="AB92" s="91">
        <f>AB90/AB91</f>
        <v>0.97590361445783136</v>
      </c>
      <c r="AC92" s="91">
        <f>AC90/AC91</f>
        <v>0.97590361445783136</v>
      </c>
      <c r="AD92" s="91">
        <f>AD90/AD91</f>
        <v>0.96385542168674698</v>
      </c>
      <c r="AE92" s="91">
        <f>AE90/AE91</f>
        <v>0.97590361445783136</v>
      </c>
      <c r="AF92" s="93"/>
      <c r="AG92" s="93"/>
      <c r="AH92" s="93"/>
      <c r="AI92" s="91">
        <f>AI90/AI91</f>
        <v>0.96385542168674698</v>
      </c>
      <c r="AJ92" s="91">
        <f>AJ90/AJ91</f>
        <v>0.96385542168674698</v>
      </c>
      <c r="AK92" s="91">
        <f>AK90/AK91</f>
        <v>0.95180722891566261</v>
      </c>
      <c r="AL92" s="91">
        <f>AL90/AL91</f>
        <v>0.95180722891566261</v>
      </c>
      <c r="AM92" s="91">
        <f>AM90/AM91</f>
        <v>0.96385542168674698</v>
      </c>
      <c r="AN92" s="93"/>
      <c r="AO92" s="93"/>
      <c r="AP92" s="93"/>
      <c r="AQ92" s="93"/>
      <c r="AR92" s="94"/>
      <c r="AS92" s="95">
        <f>AS90/AS91</f>
        <v>0.97590361445783136</v>
      </c>
      <c r="AT92" s="95">
        <f>AT90/AT91</f>
        <v>0.98795180722891562</v>
      </c>
      <c r="AU92" s="95">
        <f>AU90/AU91</f>
        <v>0.98795180722891562</v>
      </c>
      <c r="AV92" s="95">
        <f>AV90/AV91</f>
        <v>0.95180722891566261</v>
      </c>
      <c r="AW92" s="95">
        <f>AW90/AW91</f>
        <v>0.98795180722891562</v>
      </c>
      <c r="AX92" s="85"/>
      <c r="AY92" s="85"/>
      <c r="AZ92" s="87"/>
      <c r="BA92" s="95">
        <f>BA90/BA91</f>
        <v>1</v>
      </c>
      <c r="BB92" s="95">
        <f>BB90/BB91</f>
        <v>0.98795180722891562</v>
      </c>
      <c r="BC92" s="95">
        <f>BC90/BC91</f>
        <v>0.98795180722891562</v>
      </c>
      <c r="BD92" s="95">
        <f>BD90/BD91</f>
        <v>0.97590361445783136</v>
      </c>
      <c r="BE92" s="95">
        <f>BE90/BE91</f>
        <v>0.95180722891566261</v>
      </c>
      <c r="BF92" s="85"/>
      <c r="BG92" s="85"/>
      <c r="BH92" s="87"/>
      <c r="BI92" s="95">
        <f>BI90/BI91</f>
        <v>0.92771084337349397</v>
      </c>
      <c r="BJ92" s="95">
        <f>BJ90/BJ91</f>
        <v>0.90361445783132532</v>
      </c>
      <c r="BK92" s="95">
        <f>BK90/BK91</f>
        <v>0.92771084337349397</v>
      </c>
      <c r="BL92" s="95">
        <f>BL90/BL91</f>
        <v>0.92771084337349397</v>
      </c>
      <c r="BM92" s="95">
        <f>BM90/BM91</f>
        <v>0.96385542168674698</v>
      </c>
      <c r="BN92" s="85"/>
      <c r="BO92" s="88"/>
      <c r="BP92" s="85"/>
      <c r="BQ92" s="90">
        <f>BQ90/BQ91</f>
        <v>0.95180722891566261</v>
      </c>
      <c r="BR92" s="90">
        <f>BR90/BR91</f>
        <v>0.96385542168674698</v>
      </c>
      <c r="BS92" s="90">
        <f>BS90/BS91</f>
        <v>0.98795180722891562</v>
      </c>
      <c r="BT92" s="90">
        <f>BT90/BT91</f>
        <v>0.97590361445783136</v>
      </c>
      <c r="BU92" s="90">
        <f>BU90/BU91</f>
        <v>1</v>
      </c>
      <c r="BV92" s="85"/>
      <c r="BW92" s="85"/>
      <c r="BX92" s="88"/>
      <c r="BY92" s="88"/>
      <c r="BZ92" s="87"/>
      <c r="CA92" s="90">
        <f>CA90/CA91</f>
        <v>0.92682926829268297</v>
      </c>
      <c r="CB92" s="90">
        <f>CB90/CB91</f>
        <v>0.95121951219512191</v>
      </c>
      <c r="CC92" s="90">
        <f>CC90/CC91</f>
        <v>0.92682926829268297</v>
      </c>
      <c r="CD92" s="90">
        <f>CD90/CD91</f>
        <v>0.92682926829268297</v>
      </c>
      <c r="CE92" s="90">
        <f>CE90/CE91</f>
        <v>0.62195121951219512</v>
      </c>
      <c r="CF92" s="85"/>
      <c r="CG92" s="85"/>
      <c r="CH92" s="87"/>
      <c r="CI92" s="85"/>
      <c r="CJ92" s="85"/>
      <c r="CK92" s="85"/>
      <c r="CL92" s="85"/>
      <c r="CM92" s="85"/>
      <c r="CN92" s="85"/>
      <c r="CO92" s="85"/>
      <c r="CP92" s="85"/>
    </row>
    <row r="93" spans="1:94" ht="13">
      <c r="A93" s="96"/>
      <c r="B93" s="96"/>
      <c r="C93" s="96"/>
      <c r="D93" s="96"/>
      <c r="E93" s="96"/>
      <c r="F93" s="96"/>
      <c r="G93" s="96"/>
      <c r="H93" s="97"/>
      <c r="I93" s="96"/>
      <c r="J93" s="96"/>
      <c r="K93" s="96"/>
      <c r="L93" s="96"/>
      <c r="M93" s="96"/>
      <c r="N93" s="96"/>
      <c r="O93" s="96"/>
      <c r="P93" s="96"/>
      <c r="Q93" s="98"/>
      <c r="R93" s="99"/>
      <c r="S93" s="96"/>
      <c r="T93" s="99"/>
      <c r="U93" s="99"/>
      <c r="V93" s="99"/>
      <c r="W93" s="99"/>
      <c r="X93" s="96"/>
      <c r="Y93" s="99"/>
      <c r="Z93" s="99"/>
      <c r="AA93" s="99"/>
      <c r="AB93" s="99"/>
      <c r="AC93" s="99"/>
      <c r="AD93" s="99"/>
      <c r="AE93" s="99"/>
      <c r="AF93" s="99"/>
      <c r="AG93" s="99"/>
      <c r="AH93" s="99"/>
      <c r="AI93" s="96"/>
      <c r="AJ93" s="96"/>
      <c r="AK93" s="96"/>
      <c r="AL93" s="96"/>
      <c r="AM93" s="99"/>
      <c r="AN93" s="99"/>
      <c r="AO93" s="99"/>
      <c r="AP93" s="99"/>
      <c r="AQ93" s="99"/>
      <c r="AR93" s="99"/>
      <c r="AS93" s="96"/>
      <c r="AT93" s="96"/>
      <c r="AU93" s="96"/>
      <c r="BA93" s="96"/>
      <c r="BB93" s="96"/>
      <c r="BC93" s="96"/>
      <c r="BD93" s="96"/>
      <c r="BE93" s="96"/>
      <c r="BI93" s="96"/>
      <c r="BJ93" s="96"/>
      <c r="BK93" s="96"/>
      <c r="BL93" s="96"/>
      <c r="BM93" s="96"/>
      <c r="BO93" s="96"/>
      <c r="BQ93" s="96"/>
      <c r="BR93" s="96"/>
      <c r="BS93" s="96"/>
      <c r="BT93" s="96"/>
      <c r="BU93" s="96"/>
      <c r="BV93" s="99"/>
      <c r="BW93" s="99"/>
      <c r="BX93" s="96"/>
      <c r="BY93" s="96"/>
      <c r="BZ93" s="99"/>
      <c r="CA93" s="96"/>
      <c r="CB93" s="96"/>
      <c r="CC93" s="96"/>
      <c r="CD93" s="96"/>
      <c r="CE93" s="96"/>
      <c r="CI93" s="100"/>
      <c r="CJ93" s="100"/>
      <c r="CK93" s="100"/>
      <c r="CL93" s="100"/>
      <c r="CM93" s="100"/>
      <c r="CN93" s="100"/>
      <c r="CO93" s="100"/>
      <c r="CP93" s="100"/>
    </row>
    <row r="94" spans="1:94" ht="13">
      <c r="A94" s="96"/>
      <c r="B94" s="96"/>
      <c r="C94" s="96"/>
      <c r="D94" s="96"/>
      <c r="E94" s="96"/>
      <c r="F94" s="96"/>
      <c r="G94" s="96"/>
      <c r="H94" s="97"/>
      <c r="I94" s="96"/>
      <c r="J94" s="96"/>
      <c r="K94" s="96"/>
      <c r="L94" s="96"/>
      <c r="M94" s="96"/>
      <c r="N94" s="96"/>
      <c r="O94" s="96"/>
      <c r="P94" s="96"/>
      <c r="Q94" s="98"/>
      <c r="R94" s="99"/>
      <c r="S94" s="96"/>
      <c r="T94" s="99"/>
      <c r="U94" s="99"/>
      <c r="V94" s="99"/>
      <c r="W94" s="99"/>
      <c r="X94" s="96"/>
      <c r="Y94" s="99"/>
      <c r="Z94" s="99"/>
      <c r="AA94" s="99"/>
      <c r="AB94" s="99"/>
      <c r="AC94" s="99"/>
      <c r="AD94" s="99"/>
      <c r="AE94" s="99"/>
      <c r="AF94" s="99"/>
      <c r="AG94" s="99"/>
      <c r="AH94" s="99"/>
      <c r="AI94" s="96"/>
      <c r="AJ94" s="96"/>
      <c r="AK94" s="96"/>
      <c r="AL94" s="96"/>
      <c r="AM94" s="99"/>
      <c r="AN94" s="99"/>
      <c r="AO94" s="99"/>
      <c r="AP94" s="99"/>
      <c r="AQ94" s="99"/>
      <c r="AR94" s="99"/>
      <c r="AS94" s="96"/>
      <c r="AT94" s="96"/>
      <c r="AU94" s="96"/>
      <c r="BA94" s="96"/>
      <c r="BB94" s="96"/>
      <c r="BC94" s="96"/>
      <c r="BD94" s="96"/>
      <c r="BE94" s="96"/>
      <c r="BI94" s="96"/>
      <c r="BJ94" s="96"/>
      <c r="BK94" s="96"/>
      <c r="BL94" s="96"/>
      <c r="BM94" s="96"/>
      <c r="BO94" s="96"/>
      <c r="BQ94" s="96"/>
      <c r="BR94" s="96"/>
      <c r="BS94" s="96"/>
      <c r="BT94" s="96"/>
      <c r="BU94" s="96"/>
      <c r="BV94" s="99"/>
      <c r="BW94" s="99"/>
      <c r="BX94" s="96"/>
      <c r="BY94" s="96"/>
      <c r="BZ94" s="99"/>
      <c r="CA94" s="96"/>
      <c r="CB94" s="96"/>
      <c r="CC94" s="96"/>
      <c r="CD94" s="96"/>
      <c r="CE94" s="96"/>
      <c r="CI94" s="100"/>
      <c r="CJ94" s="100"/>
      <c r="CK94" s="100"/>
      <c r="CL94" s="100"/>
      <c r="CM94" s="100"/>
      <c r="CN94" s="100"/>
      <c r="CO94" s="100"/>
      <c r="CP94" s="100"/>
    </row>
    <row r="95" spans="1:94" ht="13">
      <c r="A95" s="96"/>
      <c r="B95" s="96"/>
      <c r="C95" s="96"/>
      <c r="D95" s="96"/>
      <c r="E95" s="96"/>
      <c r="F95" s="96"/>
      <c r="G95" s="96"/>
      <c r="H95" s="97"/>
      <c r="I95" s="96"/>
      <c r="J95" s="96"/>
      <c r="K95" s="96"/>
      <c r="L95" s="96"/>
      <c r="M95" s="96"/>
      <c r="N95" s="96"/>
      <c r="O95" s="96"/>
      <c r="P95" s="96"/>
      <c r="Q95" s="98"/>
      <c r="R95" s="99"/>
      <c r="S95" s="96"/>
      <c r="T95" s="99"/>
      <c r="U95" s="99"/>
      <c r="V95" s="99"/>
      <c r="W95" s="99"/>
      <c r="X95" s="96"/>
      <c r="Y95" s="99"/>
      <c r="Z95" s="99"/>
      <c r="AA95" s="99"/>
      <c r="AB95" s="99"/>
      <c r="AC95" s="99"/>
      <c r="AD95" s="99"/>
      <c r="AE95" s="99"/>
      <c r="AF95" s="99"/>
      <c r="AG95" s="99"/>
      <c r="AH95" s="99"/>
      <c r="AI95" s="96"/>
      <c r="AJ95" s="96"/>
      <c r="AK95" s="96"/>
      <c r="AL95" s="96"/>
      <c r="AM95" s="99"/>
      <c r="AN95" s="99"/>
      <c r="AO95" s="99"/>
      <c r="AP95" s="99"/>
      <c r="AQ95" s="99"/>
      <c r="AR95" s="99"/>
      <c r="AS95" s="96"/>
      <c r="AT95" s="96"/>
      <c r="AU95" s="96"/>
      <c r="BA95" s="96"/>
      <c r="BB95" s="96"/>
      <c r="BC95" s="96"/>
      <c r="BD95" s="96"/>
      <c r="BE95" s="96"/>
      <c r="BI95" s="96"/>
      <c r="BJ95" s="96"/>
      <c r="BK95" s="96"/>
      <c r="BL95" s="96"/>
      <c r="BM95" s="96"/>
      <c r="BO95" s="96"/>
      <c r="BQ95" s="96"/>
      <c r="BR95" s="96"/>
      <c r="BS95" s="96"/>
      <c r="BT95" s="96"/>
      <c r="BU95" s="96"/>
      <c r="BV95" s="99"/>
      <c r="BW95" s="99"/>
      <c r="BX95" s="96"/>
      <c r="BY95" s="96"/>
      <c r="BZ95" s="99"/>
      <c r="CA95" s="96"/>
      <c r="CB95" s="96"/>
      <c r="CC95" s="96"/>
      <c r="CD95" s="96"/>
      <c r="CE95" s="96"/>
      <c r="CI95" s="100"/>
      <c r="CJ95" s="100"/>
      <c r="CK95" s="100"/>
      <c r="CL95" s="100"/>
      <c r="CM95" s="100"/>
      <c r="CN95" s="100"/>
      <c r="CO95" s="100"/>
      <c r="CP95" s="100"/>
    </row>
    <row r="96" spans="1:94" ht="13">
      <c r="A96" s="96"/>
      <c r="B96" s="96"/>
      <c r="C96" s="96"/>
      <c r="D96" s="96"/>
      <c r="E96" s="96"/>
      <c r="F96" s="96"/>
      <c r="G96" s="96"/>
      <c r="H96" s="97"/>
      <c r="I96" s="96"/>
      <c r="J96" s="96"/>
      <c r="K96" s="96"/>
      <c r="L96" s="96"/>
      <c r="M96" s="96"/>
      <c r="N96" s="96"/>
      <c r="O96" s="96"/>
      <c r="P96" s="96"/>
      <c r="Q96" s="98"/>
      <c r="R96" s="99"/>
      <c r="S96" s="96"/>
      <c r="T96" s="99"/>
      <c r="U96" s="99"/>
      <c r="V96" s="99"/>
      <c r="W96" s="99"/>
      <c r="X96" s="96"/>
      <c r="Y96" s="99"/>
      <c r="Z96" s="99"/>
      <c r="AA96" s="99"/>
      <c r="AB96" s="99"/>
      <c r="AC96" s="99"/>
      <c r="AD96" s="99"/>
      <c r="AE96" s="99"/>
      <c r="AF96" s="99"/>
      <c r="AG96" s="99"/>
      <c r="AH96" s="99"/>
      <c r="AI96" s="96"/>
      <c r="AJ96" s="96"/>
      <c r="AK96" s="96"/>
      <c r="AL96" s="96"/>
      <c r="AM96" s="99"/>
      <c r="AN96" s="99"/>
      <c r="AO96" s="99"/>
      <c r="AP96" s="99"/>
      <c r="AQ96" s="99"/>
      <c r="AR96" s="99"/>
      <c r="AS96" s="96"/>
      <c r="AT96" s="96"/>
      <c r="AU96" s="96"/>
      <c r="BA96" s="96"/>
      <c r="BB96" s="96"/>
      <c r="BC96" s="96"/>
      <c r="BD96" s="96"/>
      <c r="BE96" s="96"/>
      <c r="BI96" s="96"/>
      <c r="BJ96" s="96"/>
      <c r="BK96" s="96"/>
      <c r="BL96" s="96"/>
      <c r="BM96" s="96"/>
      <c r="BO96" s="96"/>
      <c r="BQ96" s="96"/>
      <c r="BR96" s="96"/>
      <c r="BS96" s="96"/>
      <c r="BT96" s="96"/>
      <c r="BU96" s="96"/>
      <c r="BV96" s="99"/>
      <c r="BW96" s="99"/>
      <c r="BX96" s="96"/>
      <c r="BY96" s="96"/>
      <c r="BZ96" s="99"/>
      <c r="CA96" s="96"/>
      <c r="CB96" s="96"/>
      <c r="CC96" s="96"/>
      <c r="CD96" s="96"/>
      <c r="CE96" s="96"/>
      <c r="CI96" s="100"/>
      <c r="CJ96" s="100"/>
      <c r="CK96" s="100"/>
      <c r="CL96" s="100"/>
      <c r="CM96" s="100"/>
      <c r="CN96" s="100"/>
      <c r="CO96" s="100"/>
      <c r="CP96" s="100"/>
    </row>
    <row r="97" spans="1:94" ht="13">
      <c r="A97" s="96"/>
      <c r="B97" s="96"/>
      <c r="C97" s="96"/>
      <c r="D97" s="96"/>
      <c r="E97" s="96"/>
      <c r="F97" s="96"/>
      <c r="G97" s="96"/>
      <c r="H97" s="97"/>
      <c r="I97" s="96"/>
      <c r="J97" s="96"/>
      <c r="K97" s="96"/>
      <c r="L97" s="96"/>
      <c r="M97" s="96"/>
      <c r="N97" s="96"/>
      <c r="O97" s="96"/>
      <c r="P97" s="96"/>
      <c r="Q97" s="98"/>
      <c r="R97" s="99"/>
      <c r="S97" s="96"/>
      <c r="T97" s="99"/>
      <c r="U97" s="99"/>
      <c r="V97" s="99"/>
      <c r="W97" s="99"/>
      <c r="X97" s="96"/>
      <c r="Y97" s="99"/>
      <c r="Z97" s="99"/>
      <c r="AA97" s="99"/>
      <c r="AB97" s="99"/>
      <c r="AC97" s="99"/>
      <c r="AD97" s="99"/>
      <c r="AE97" s="99"/>
      <c r="AF97" s="99"/>
      <c r="AG97" s="99"/>
      <c r="AH97" s="99"/>
      <c r="AI97" s="96"/>
      <c r="AJ97" s="96"/>
      <c r="AK97" s="96"/>
      <c r="AL97" s="96"/>
      <c r="AM97" s="99"/>
      <c r="AN97" s="99"/>
      <c r="AO97" s="99"/>
      <c r="AP97" s="99"/>
      <c r="AQ97" s="99"/>
      <c r="AR97" s="99"/>
      <c r="AS97" s="96"/>
      <c r="AT97" s="96"/>
      <c r="AU97" s="96"/>
      <c r="BA97" s="96"/>
      <c r="BB97" s="96"/>
      <c r="BC97" s="96"/>
      <c r="BD97" s="96"/>
      <c r="BE97" s="96"/>
      <c r="BI97" s="96"/>
      <c r="BJ97" s="96"/>
      <c r="BK97" s="96"/>
      <c r="BL97" s="96"/>
      <c r="BM97" s="96"/>
      <c r="BO97" s="96"/>
      <c r="BQ97" s="96"/>
      <c r="BR97" s="96"/>
      <c r="BS97" s="96"/>
      <c r="BT97" s="96"/>
      <c r="BU97" s="96"/>
      <c r="BV97" s="99"/>
      <c r="BW97" s="99"/>
      <c r="BX97" s="96"/>
      <c r="BY97" s="96"/>
      <c r="BZ97" s="99"/>
      <c r="CA97" s="96"/>
      <c r="CB97" s="96"/>
      <c r="CC97" s="96"/>
      <c r="CD97" s="96"/>
      <c r="CE97" s="96"/>
      <c r="CI97" s="100"/>
      <c r="CJ97" s="100"/>
      <c r="CK97" s="100"/>
      <c r="CL97" s="100"/>
      <c r="CM97" s="100"/>
      <c r="CN97" s="100"/>
      <c r="CO97" s="100"/>
      <c r="CP97" s="100"/>
    </row>
    <row r="98" spans="1:94" ht="13">
      <c r="A98" s="96"/>
      <c r="B98" s="96"/>
      <c r="C98" s="96"/>
      <c r="D98" s="96"/>
      <c r="E98" s="96"/>
      <c r="F98" s="96"/>
      <c r="G98" s="96"/>
      <c r="H98" s="97"/>
      <c r="I98" s="96"/>
      <c r="J98" s="96"/>
      <c r="K98" s="96"/>
      <c r="L98" s="96"/>
      <c r="M98" s="96"/>
      <c r="N98" s="96"/>
      <c r="O98" s="96"/>
      <c r="P98" s="96"/>
      <c r="Q98" s="98"/>
      <c r="R98" s="99"/>
      <c r="S98" s="96"/>
      <c r="T98" s="99"/>
      <c r="U98" s="99"/>
      <c r="V98" s="99"/>
      <c r="W98" s="99"/>
      <c r="X98" s="96"/>
      <c r="Y98" s="99"/>
      <c r="Z98" s="99"/>
      <c r="AA98" s="99"/>
      <c r="AB98" s="99"/>
      <c r="AC98" s="99"/>
      <c r="AD98" s="99"/>
      <c r="AE98" s="99"/>
      <c r="AF98" s="99"/>
      <c r="AG98" s="99"/>
      <c r="AH98" s="99"/>
      <c r="AI98" s="96"/>
      <c r="AJ98" s="96"/>
      <c r="AK98" s="96"/>
      <c r="AL98" s="96"/>
      <c r="AM98" s="99"/>
      <c r="AN98" s="99"/>
      <c r="AO98" s="99"/>
      <c r="AP98" s="99"/>
      <c r="AQ98" s="99"/>
      <c r="AR98" s="99"/>
      <c r="AS98" s="96"/>
      <c r="AT98" s="96"/>
      <c r="AU98" s="96"/>
      <c r="BA98" s="96"/>
      <c r="BB98" s="96"/>
      <c r="BC98" s="96"/>
      <c r="BD98" s="96"/>
      <c r="BE98" s="96"/>
      <c r="BI98" s="96"/>
      <c r="BJ98" s="96"/>
      <c r="BK98" s="96"/>
      <c r="BL98" s="96"/>
      <c r="BM98" s="96"/>
      <c r="BO98" s="96"/>
      <c r="BQ98" s="96"/>
      <c r="BR98" s="96"/>
      <c r="BS98" s="96"/>
      <c r="BT98" s="96"/>
      <c r="BU98" s="96"/>
      <c r="BV98" s="99"/>
      <c r="BW98" s="99"/>
      <c r="BX98" s="96"/>
      <c r="BY98" s="96"/>
      <c r="BZ98" s="99"/>
      <c r="CA98" s="96"/>
      <c r="CB98" s="96"/>
      <c r="CC98" s="96"/>
      <c r="CD98" s="96"/>
      <c r="CE98" s="96"/>
      <c r="CI98" s="100"/>
      <c r="CJ98" s="100"/>
      <c r="CK98" s="100"/>
      <c r="CL98" s="100"/>
      <c r="CM98" s="100"/>
      <c r="CN98" s="100"/>
      <c r="CO98" s="100"/>
      <c r="CP98" s="100"/>
    </row>
    <row r="99" spans="1:94" ht="13">
      <c r="A99" s="96"/>
      <c r="B99" s="96"/>
      <c r="C99" s="96"/>
      <c r="D99" s="96"/>
      <c r="E99" s="96"/>
      <c r="F99" s="96"/>
      <c r="G99" s="96"/>
      <c r="H99" s="97"/>
      <c r="I99" s="96"/>
      <c r="J99" s="96"/>
      <c r="K99" s="96"/>
      <c r="L99" s="96"/>
      <c r="M99" s="96"/>
      <c r="N99" s="96"/>
      <c r="O99" s="96"/>
      <c r="P99" s="96"/>
      <c r="Q99" s="98"/>
      <c r="R99" s="99"/>
      <c r="S99" s="96"/>
      <c r="T99" s="99"/>
      <c r="U99" s="99"/>
      <c r="V99" s="99"/>
      <c r="W99" s="99"/>
      <c r="X99" s="96"/>
      <c r="Y99" s="99"/>
      <c r="Z99" s="99"/>
      <c r="AA99" s="99"/>
      <c r="AB99" s="99"/>
      <c r="AC99" s="99"/>
      <c r="AD99" s="99"/>
      <c r="AE99" s="99"/>
      <c r="AF99" s="99"/>
      <c r="AG99" s="99"/>
      <c r="AH99" s="99"/>
      <c r="AI99" s="96"/>
      <c r="AJ99" s="96"/>
      <c r="AK99" s="96"/>
      <c r="AL99" s="96"/>
      <c r="AM99" s="99"/>
      <c r="AN99" s="99"/>
      <c r="AO99" s="99"/>
      <c r="AP99" s="99"/>
      <c r="AQ99" s="99"/>
      <c r="AR99" s="99"/>
      <c r="AS99" s="96"/>
      <c r="AT99" s="96"/>
      <c r="AU99" s="96"/>
      <c r="BA99" s="96"/>
      <c r="BB99" s="96"/>
      <c r="BC99" s="96"/>
      <c r="BD99" s="96"/>
      <c r="BE99" s="96"/>
      <c r="BI99" s="96"/>
      <c r="BJ99" s="96"/>
      <c r="BK99" s="96"/>
      <c r="BL99" s="96"/>
      <c r="BM99" s="96"/>
      <c r="BO99" s="96"/>
      <c r="BQ99" s="96"/>
      <c r="BR99" s="96"/>
      <c r="BS99" s="96"/>
      <c r="BT99" s="96"/>
      <c r="BU99" s="96"/>
      <c r="BV99" s="99"/>
      <c r="BW99" s="99"/>
      <c r="BX99" s="96"/>
      <c r="BY99" s="96"/>
      <c r="BZ99" s="99"/>
      <c r="CA99" s="96"/>
      <c r="CB99" s="96"/>
      <c r="CC99" s="96"/>
      <c r="CD99" s="96"/>
      <c r="CE99" s="96"/>
      <c r="CI99" s="100"/>
      <c r="CJ99" s="100"/>
      <c r="CK99" s="100"/>
      <c r="CL99" s="100"/>
      <c r="CM99" s="100"/>
      <c r="CN99" s="100"/>
      <c r="CO99" s="100"/>
      <c r="CP99" s="100"/>
    </row>
    <row r="100" spans="1:94" ht="13">
      <c r="A100" s="96"/>
      <c r="B100" s="96"/>
      <c r="C100" s="96"/>
      <c r="D100" s="96"/>
      <c r="E100" s="96"/>
      <c r="F100" s="96"/>
      <c r="G100" s="96"/>
      <c r="H100" s="97"/>
      <c r="I100" s="96"/>
      <c r="J100" s="96"/>
      <c r="K100" s="96"/>
      <c r="L100" s="96"/>
      <c r="M100" s="96"/>
      <c r="N100" s="96"/>
      <c r="O100" s="96"/>
      <c r="P100" s="96"/>
      <c r="Q100" s="98"/>
      <c r="R100" s="99"/>
      <c r="S100" s="96"/>
      <c r="T100" s="99"/>
      <c r="U100" s="99"/>
      <c r="V100" s="99"/>
      <c r="W100" s="99"/>
      <c r="X100" s="96"/>
      <c r="Y100" s="99"/>
      <c r="Z100" s="99"/>
      <c r="AA100" s="99"/>
      <c r="AB100" s="99"/>
      <c r="AC100" s="99"/>
      <c r="AD100" s="99"/>
      <c r="AE100" s="99"/>
      <c r="AF100" s="99"/>
      <c r="AG100" s="99"/>
      <c r="AH100" s="99"/>
      <c r="AI100" s="96"/>
      <c r="AJ100" s="96"/>
      <c r="AK100" s="96"/>
      <c r="AL100" s="96"/>
      <c r="AM100" s="99"/>
      <c r="AN100" s="99"/>
      <c r="AO100" s="99"/>
      <c r="AP100" s="99"/>
      <c r="AQ100" s="99"/>
      <c r="AR100" s="99"/>
      <c r="AS100" s="96"/>
      <c r="AT100" s="96"/>
      <c r="AU100" s="96"/>
      <c r="BA100" s="96"/>
      <c r="BB100" s="96"/>
      <c r="BC100" s="96"/>
      <c r="BD100" s="96"/>
      <c r="BE100" s="96"/>
      <c r="BI100" s="96"/>
      <c r="BJ100" s="96"/>
      <c r="BK100" s="96"/>
      <c r="BL100" s="96"/>
      <c r="BM100" s="96"/>
      <c r="BO100" s="96"/>
      <c r="BQ100" s="96"/>
      <c r="BR100" s="96"/>
      <c r="BS100" s="96"/>
      <c r="BT100" s="96"/>
      <c r="BU100" s="96"/>
      <c r="BV100" s="99"/>
      <c r="BW100" s="99"/>
      <c r="BX100" s="96"/>
      <c r="BY100" s="96"/>
      <c r="BZ100" s="99"/>
      <c r="CA100" s="96"/>
      <c r="CB100" s="96"/>
      <c r="CC100" s="96"/>
      <c r="CD100" s="96"/>
      <c r="CE100" s="96"/>
      <c r="CI100" s="100"/>
      <c r="CJ100" s="100"/>
      <c r="CK100" s="100"/>
      <c r="CL100" s="100"/>
      <c r="CM100" s="100"/>
      <c r="CN100" s="100"/>
      <c r="CO100" s="100"/>
      <c r="CP100" s="100"/>
    </row>
    <row r="101" spans="1:94" ht="13">
      <c r="A101" s="96"/>
      <c r="B101" s="96"/>
      <c r="C101" s="96"/>
      <c r="D101" s="96"/>
      <c r="E101" s="96"/>
      <c r="F101" s="96"/>
      <c r="G101" s="96"/>
      <c r="H101" s="97"/>
      <c r="I101" s="96"/>
      <c r="J101" s="96"/>
      <c r="K101" s="96"/>
      <c r="L101" s="96"/>
      <c r="M101" s="96"/>
      <c r="N101" s="96"/>
      <c r="O101" s="96"/>
      <c r="P101" s="96"/>
      <c r="Q101" s="98"/>
      <c r="R101" s="99"/>
      <c r="S101" s="96"/>
      <c r="T101" s="99"/>
      <c r="U101" s="99"/>
      <c r="V101" s="99"/>
      <c r="W101" s="99"/>
      <c r="X101" s="96"/>
      <c r="Y101" s="99"/>
      <c r="Z101" s="99"/>
      <c r="AA101" s="99"/>
      <c r="AB101" s="99"/>
      <c r="AC101" s="99"/>
      <c r="AD101" s="99"/>
      <c r="AE101" s="99"/>
      <c r="AF101" s="99"/>
      <c r="AG101" s="99"/>
      <c r="AH101" s="99"/>
      <c r="AI101" s="96"/>
      <c r="AJ101" s="96"/>
      <c r="AK101" s="96"/>
      <c r="AL101" s="96"/>
      <c r="AM101" s="99"/>
      <c r="AN101" s="99"/>
      <c r="AO101" s="99"/>
      <c r="AP101" s="99"/>
      <c r="AQ101" s="99"/>
      <c r="AR101" s="99"/>
      <c r="AS101" s="96"/>
      <c r="AT101" s="96"/>
      <c r="AU101" s="96"/>
      <c r="BA101" s="96"/>
      <c r="BB101" s="96"/>
      <c r="BC101" s="96"/>
      <c r="BD101" s="96"/>
      <c r="BE101" s="96"/>
      <c r="BI101" s="96"/>
      <c r="BJ101" s="96"/>
      <c r="BK101" s="96"/>
      <c r="BL101" s="96"/>
      <c r="BM101" s="96"/>
      <c r="BO101" s="96"/>
      <c r="BQ101" s="96"/>
      <c r="BR101" s="96"/>
      <c r="BS101" s="96"/>
      <c r="BT101" s="96"/>
      <c r="BU101" s="96"/>
      <c r="BV101" s="99"/>
      <c r="BW101" s="99"/>
      <c r="BX101" s="96"/>
      <c r="BY101" s="96"/>
      <c r="BZ101" s="99"/>
      <c r="CA101" s="96"/>
      <c r="CB101" s="96"/>
      <c r="CC101" s="96"/>
      <c r="CD101" s="96"/>
      <c r="CE101" s="96"/>
      <c r="CI101" s="100"/>
      <c r="CJ101" s="100"/>
      <c r="CK101" s="100"/>
      <c r="CL101" s="100"/>
      <c r="CM101" s="100"/>
      <c r="CN101" s="100"/>
      <c r="CO101" s="100"/>
      <c r="CP101" s="100"/>
    </row>
    <row r="102" spans="1:94" ht="13">
      <c r="A102" s="96"/>
      <c r="B102" s="96"/>
      <c r="C102" s="96"/>
      <c r="D102" s="96"/>
      <c r="E102" s="96"/>
      <c r="F102" s="96"/>
      <c r="G102" s="96"/>
      <c r="H102" s="97"/>
      <c r="I102" s="96"/>
      <c r="J102" s="96"/>
      <c r="K102" s="96"/>
      <c r="L102" s="96"/>
      <c r="M102" s="96"/>
      <c r="N102" s="96"/>
      <c r="O102" s="96"/>
      <c r="P102" s="96"/>
      <c r="Q102" s="98"/>
      <c r="R102" s="99"/>
      <c r="S102" s="96"/>
      <c r="T102" s="99"/>
      <c r="U102" s="99"/>
      <c r="V102" s="99"/>
      <c r="W102" s="99"/>
      <c r="X102" s="96"/>
      <c r="Y102" s="99"/>
      <c r="Z102" s="99"/>
      <c r="AA102" s="99"/>
      <c r="AB102" s="99"/>
      <c r="AC102" s="99"/>
      <c r="AD102" s="99"/>
      <c r="AE102" s="99"/>
      <c r="AF102" s="99"/>
      <c r="AG102" s="99"/>
      <c r="AH102" s="99"/>
      <c r="AI102" s="96"/>
      <c r="AJ102" s="96"/>
      <c r="AK102" s="96"/>
      <c r="AL102" s="96"/>
      <c r="AM102" s="99"/>
      <c r="AN102" s="99"/>
      <c r="AO102" s="99"/>
      <c r="AP102" s="99"/>
      <c r="AQ102" s="99"/>
      <c r="AR102" s="99"/>
      <c r="AS102" s="96"/>
      <c r="AT102" s="96"/>
      <c r="AU102" s="96"/>
      <c r="BA102" s="96"/>
      <c r="BB102" s="96"/>
      <c r="BC102" s="96"/>
      <c r="BD102" s="96"/>
      <c r="BE102" s="96"/>
      <c r="BI102" s="96"/>
      <c r="BJ102" s="96"/>
      <c r="BK102" s="96"/>
      <c r="BL102" s="96"/>
      <c r="BM102" s="96"/>
      <c r="BO102" s="96"/>
      <c r="BQ102" s="96"/>
      <c r="BR102" s="96"/>
      <c r="BS102" s="96"/>
      <c r="BT102" s="96"/>
      <c r="BU102" s="96"/>
      <c r="BV102" s="99"/>
      <c r="BW102" s="99"/>
      <c r="BX102" s="96"/>
      <c r="BY102" s="96"/>
      <c r="BZ102" s="99"/>
      <c r="CA102" s="96"/>
      <c r="CB102" s="96"/>
      <c r="CC102" s="96"/>
      <c r="CD102" s="96"/>
      <c r="CE102" s="96"/>
      <c r="CI102" s="100"/>
      <c r="CJ102" s="100"/>
      <c r="CK102" s="100"/>
      <c r="CL102" s="100"/>
      <c r="CM102" s="100"/>
      <c r="CN102" s="100"/>
      <c r="CO102" s="100"/>
      <c r="CP102" s="100"/>
    </row>
    <row r="103" spans="1:94" ht="13">
      <c r="A103" s="96"/>
      <c r="B103" s="96"/>
      <c r="C103" s="96"/>
      <c r="D103" s="96"/>
      <c r="E103" s="96"/>
      <c r="F103" s="96"/>
      <c r="G103" s="96"/>
      <c r="H103" s="97"/>
      <c r="I103" s="96"/>
      <c r="J103" s="96"/>
      <c r="K103" s="96"/>
      <c r="L103" s="96"/>
      <c r="M103" s="96"/>
      <c r="N103" s="96"/>
      <c r="O103" s="96"/>
      <c r="P103" s="96"/>
      <c r="Q103" s="98"/>
      <c r="R103" s="99"/>
      <c r="S103" s="96"/>
      <c r="T103" s="99"/>
      <c r="U103" s="99"/>
      <c r="V103" s="99"/>
      <c r="W103" s="99"/>
      <c r="X103" s="96"/>
      <c r="Y103" s="99"/>
      <c r="Z103" s="99"/>
      <c r="AA103" s="99"/>
      <c r="AB103" s="99"/>
      <c r="AC103" s="99"/>
      <c r="AD103" s="99"/>
      <c r="AE103" s="99"/>
      <c r="AF103" s="99"/>
      <c r="AG103" s="99"/>
      <c r="AH103" s="99"/>
      <c r="AI103" s="96"/>
      <c r="AJ103" s="96"/>
      <c r="AK103" s="96"/>
      <c r="AL103" s="96"/>
      <c r="AM103" s="99"/>
      <c r="AN103" s="99"/>
      <c r="AO103" s="99"/>
      <c r="AP103" s="99"/>
      <c r="AQ103" s="99"/>
      <c r="AR103" s="99"/>
      <c r="AS103" s="96"/>
      <c r="AT103" s="96"/>
      <c r="AU103" s="96"/>
      <c r="BA103" s="96"/>
      <c r="BB103" s="96"/>
      <c r="BC103" s="96"/>
      <c r="BD103" s="96"/>
      <c r="BE103" s="96"/>
      <c r="BI103" s="96"/>
      <c r="BJ103" s="96"/>
      <c r="BK103" s="96"/>
      <c r="BL103" s="96"/>
      <c r="BM103" s="96"/>
      <c r="BO103" s="96"/>
      <c r="BQ103" s="96"/>
      <c r="BR103" s="96"/>
      <c r="BS103" s="96"/>
      <c r="BT103" s="96"/>
      <c r="BU103" s="96"/>
      <c r="BV103" s="99"/>
      <c r="BW103" s="99"/>
      <c r="BX103" s="96"/>
      <c r="BY103" s="96"/>
      <c r="BZ103" s="99"/>
      <c r="CA103" s="96"/>
      <c r="CB103" s="96"/>
      <c r="CC103" s="96"/>
      <c r="CD103" s="96"/>
      <c r="CE103" s="96"/>
      <c r="CI103" s="100"/>
      <c r="CJ103" s="100"/>
      <c r="CK103" s="100"/>
      <c r="CL103" s="100"/>
      <c r="CM103" s="100"/>
      <c r="CN103" s="100"/>
      <c r="CO103" s="100"/>
      <c r="CP103" s="100"/>
    </row>
    <row r="104" spans="1:94" ht="13">
      <c r="A104" s="96"/>
      <c r="B104" s="96"/>
      <c r="C104" s="96"/>
      <c r="D104" s="96"/>
      <c r="E104" s="96"/>
      <c r="F104" s="96"/>
      <c r="G104" s="96"/>
      <c r="H104" s="97"/>
      <c r="I104" s="96"/>
      <c r="J104" s="96"/>
      <c r="K104" s="96"/>
      <c r="L104" s="96"/>
      <c r="M104" s="96"/>
      <c r="N104" s="96"/>
      <c r="O104" s="96"/>
      <c r="P104" s="96"/>
      <c r="Q104" s="98"/>
      <c r="R104" s="99"/>
      <c r="S104" s="96"/>
      <c r="T104" s="99"/>
      <c r="U104" s="99"/>
      <c r="V104" s="99"/>
      <c r="W104" s="99"/>
      <c r="X104" s="96"/>
      <c r="Y104" s="99"/>
      <c r="Z104" s="99"/>
      <c r="AA104" s="99"/>
      <c r="AB104" s="99"/>
      <c r="AC104" s="99"/>
      <c r="AD104" s="99"/>
      <c r="AE104" s="99"/>
      <c r="AF104" s="99"/>
      <c r="AG104" s="99"/>
      <c r="AH104" s="99"/>
      <c r="AI104" s="96"/>
      <c r="AJ104" s="96"/>
      <c r="AK104" s="96"/>
      <c r="AL104" s="96"/>
      <c r="AM104" s="99"/>
      <c r="AN104" s="99"/>
      <c r="AO104" s="99"/>
      <c r="AP104" s="99"/>
      <c r="AQ104" s="99"/>
      <c r="AR104" s="99" t="s">
        <v>470</v>
      </c>
      <c r="AS104" s="96"/>
      <c r="AT104" s="96"/>
      <c r="AU104" s="96"/>
      <c r="BA104" s="96"/>
      <c r="BB104" s="96"/>
      <c r="BC104" s="96"/>
      <c r="BD104" s="96"/>
      <c r="BE104" s="96"/>
      <c r="BI104" s="96"/>
      <c r="BJ104" s="96"/>
      <c r="BK104" s="96"/>
      <c r="BL104" s="96"/>
      <c r="BM104" s="96"/>
      <c r="BO104" s="96"/>
      <c r="BQ104" s="96"/>
      <c r="BR104" s="96"/>
      <c r="BS104" s="96"/>
      <c r="BT104" s="96"/>
      <c r="BU104" s="96"/>
      <c r="BV104" s="99"/>
      <c r="BW104" s="99"/>
      <c r="BX104" s="96"/>
      <c r="BY104" s="96"/>
      <c r="BZ104" s="99"/>
      <c r="CA104" s="96"/>
      <c r="CB104" s="96"/>
      <c r="CC104" s="96"/>
      <c r="CD104" s="96"/>
      <c r="CE104" s="96"/>
      <c r="CI104" s="100"/>
      <c r="CJ104" s="100"/>
      <c r="CK104" s="100"/>
      <c r="CL104" s="100"/>
      <c r="CM104" s="100"/>
      <c r="CN104" s="100"/>
      <c r="CO104" s="100"/>
      <c r="CP104" s="100"/>
    </row>
    <row r="105" spans="1:94" ht="13">
      <c r="A105" s="96"/>
      <c r="B105" s="96"/>
      <c r="C105" s="96"/>
      <c r="D105" s="96"/>
      <c r="E105" s="96"/>
      <c r="F105" s="96"/>
      <c r="G105" s="96"/>
      <c r="H105" s="97"/>
      <c r="I105" s="96"/>
      <c r="J105" s="96"/>
      <c r="K105" s="96"/>
      <c r="L105" s="96"/>
      <c r="M105" s="96"/>
      <c r="N105" s="96"/>
      <c r="O105" s="96"/>
      <c r="P105" s="96"/>
      <c r="Q105" s="98"/>
      <c r="R105" s="99"/>
      <c r="S105" s="96"/>
      <c r="T105" s="99"/>
      <c r="U105" s="99"/>
      <c r="V105" s="99"/>
      <c r="W105" s="99"/>
      <c r="X105" s="96"/>
      <c r="Y105" s="99"/>
      <c r="Z105" s="99"/>
      <c r="AA105" s="99"/>
      <c r="AB105" s="99"/>
      <c r="AC105" s="99"/>
      <c r="AD105" s="99"/>
      <c r="AE105" s="99"/>
      <c r="AF105" s="99"/>
      <c r="AG105" s="99"/>
      <c r="AH105" s="99"/>
      <c r="AI105" s="96"/>
      <c r="AJ105" s="96"/>
      <c r="AK105" s="96"/>
      <c r="AL105" s="96"/>
      <c r="AM105" s="99"/>
      <c r="AN105" s="99"/>
      <c r="AO105" s="99"/>
      <c r="AP105" s="99"/>
      <c r="AQ105" s="99"/>
      <c r="AR105" s="99"/>
      <c r="AS105" s="96"/>
      <c r="AT105" s="96"/>
      <c r="AU105" s="96"/>
      <c r="BA105" s="96"/>
      <c r="BB105" s="96"/>
      <c r="BC105" s="96"/>
      <c r="BD105" s="96"/>
      <c r="BE105" s="96"/>
      <c r="BI105" s="96"/>
      <c r="BJ105" s="96"/>
      <c r="BK105" s="96"/>
      <c r="BL105" s="96"/>
      <c r="BM105" s="96"/>
      <c r="BO105" s="96"/>
      <c r="BQ105" s="96"/>
      <c r="BR105" s="96"/>
      <c r="BS105" s="96"/>
      <c r="BT105" s="96"/>
      <c r="BU105" s="96"/>
      <c r="BV105" s="99"/>
      <c r="BW105" s="99"/>
      <c r="BX105" s="96"/>
      <c r="BY105" s="96"/>
      <c r="BZ105" s="99"/>
      <c r="CA105" s="96"/>
      <c r="CB105" s="96"/>
      <c r="CC105" s="96"/>
      <c r="CD105" s="96"/>
      <c r="CE105" s="96"/>
      <c r="CI105" s="100"/>
      <c r="CJ105" s="100"/>
      <c r="CK105" s="100"/>
      <c r="CL105" s="100"/>
      <c r="CM105" s="100"/>
      <c r="CN105" s="100"/>
      <c r="CO105" s="100"/>
      <c r="CP105" s="100"/>
    </row>
    <row r="106" spans="1:94" ht="13">
      <c r="A106" s="96"/>
      <c r="B106" s="96"/>
      <c r="C106" s="96"/>
      <c r="D106" s="96"/>
      <c r="E106" s="96"/>
      <c r="F106" s="96"/>
      <c r="G106" s="96"/>
      <c r="H106" s="97"/>
      <c r="I106" s="96"/>
      <c r="J106" s="96"/>
      <c r="K106" s="96"/>
      <c r="L106" s="96"/>
      <c r="M106" s="96"/>
      <c r="N106" s="96"/>
      <c r="O106" s="96"/>
      <c r="P106" s="96"/>
      <c r="Q106" s="98"/>
      <c r="R106" s="99"/>
      <c r="S106" s="96"/>
      <c r="T106" s="99"/>
      <c r="U106" s="99"/>
      <c r="V106" s="99"/>
      <c r="W106" s="99"/>
      <c r="X106" s="96"/>
      <c r="Y106" s="99"/>
      <c r="Z106" s="99"/>
      <c r="AA106" s="99"/>
      <c r="AB106" s="99"/>
      <c r="AC106" s="99"/>
      <c r="AD106" s="99"/>
      <c r="AE106" s="99"/>
      <c r="AF106" s="99"/>
      <c r="AG106" s="99"/>
      <c r="AH106" s="99"/>
      <c r="AI106" s="96"/>
      <c r="AJ106" s="96"/>
      <c r="AK106" s="96"/>
      <c r="AL106" s="96"/>
      <c r="AM106" s="99"/>
      <c r="AN106" s="99"/>
      <c r="AO106" s="99"/>
      <c r="AP106" s="99"/>
      <c r="AQ106" s="99"/>
      <c r="AR106" s="99"/>
      <c r="AS106" s="96"/>
      <c r="AT106" s="96"/>
      <c r="AU106" s="96"/>
      <c r="BA106" s="96"/>
      <c r="BB106" s="96"/>
      <c r="BC106" s="96"/>
      <c r="BD106" s="96"/>
      <c r="BE106" s="96"/>
      <c r="BI106" s="96"/>
      <c r="BJ106" s="96"/>
      <c r="BK106" s="96"/>
      <c r="BL106" s="96"/>
      <c r="BM106" s="96"/>
      <c r="BO106" s="96"/>
      <c r="BQ106" s="96"/>
      <c r="BR106" s="96"/>
      <c r="BS106" s="96"/>
      <c r="BT106" s="96"/>
      <c r="BU106" s="96"/>
      <c r="BV106" s="99"/>
      <c r="BW106" s="99"/>
      <c r="BX106" s="96"/>
      <c r="BY106" s="96"/>
      <c r="BZ106" s="99"/>
      <c r="CA106" s="96"/>
      <c r="CB106" s="96"/>
      <c r="CC106" s="96"/>
      <c r="CD106" s="96"/>
      <c r="CE106" s="96"/>
      <c r="CI106" s="100"/>
      <c r="CJ106" s="100"/>
      <c r="CK106" s="100"/>
      <c r="CL106" s="100"/>
      <c r="CM106" s="100"/>
      <c r="CN106" s="100"/>
      <c r="CO106" s="100"/>
      <c r="CP106" s="100"/>
    </row>
    <row r="107" spans="1:94" ht="13">
      <c r="A107" s="96"/>
      <c r="B107" s="96"/>
      <c r="C107" s="96"/>
      <c r="D107" s="96"/>
      <c r="E107" s="96"/>
      <c r="F107" s="96"/>
      <c r="G107" s="96"/>
      <c r="H107" s="97"/>
      <c r="I107" s="96"/>
      <c r="J107" s="96"/>
      <c r="K107" s="96"/>
      <c r="L107" s="96"/>
      <c r="M107" s="96"/>
      <c r="N107" s="96"/>
      <c r="O107" s="96"/>
      <c r="P107" s="96"/>
      <c r="Q107" s="98"/>
      <c r="R107" s="99"/>
      <c r="S107" s="96"/>
      <c r="T107" s="99"/>
      <c r="U107" s="99"/>
      <c r="V107" s="99"/>
      <c r="W107" s="99"/>
      <c r="X107" s="96"/>
      <c r="Y107" s="99"/>
      <c r="Z107" s="99"/>
      <c r="AA107" s="99"/>
      <c r="AB107" s="99"/>
      <c r="AC107" s="99"/>
      <c r="AD107" s="99"/>
      <c r="AE107" s="99"/>
      <c r="AF107" s="99"/>
      <c r="AG107" s="99"/>
      <c r="AH107" s="99"/>
      <c r="AI107" s="96"/>
      <c r="AJ107" s="96"/>
      <c r="AK107" s="96"/>
      <c r="AL107" s="96"/>
      <c r="AM107" s="99"/>
      <c r="AN107" s="99"/>
      <c r="AO107" s="99"/>
      <c r="AP107" s="99"/>
      <c r="AQ107" s="99"/>
      <c r="AR107" s="99"/>
      <c r="AS107" s="96"/>
      <c r="AT107" s="96"/>
      <c r="AU107" s="96"/>
      <c r="BA107" s="96"/>
      <c r="BB107" s="96"/>
      <c r="BC107" s="96"/>
      <c r="BD107" s="96"/>
      <c r="BE107" s="96"/>
      <c r="BI107" s="96"/>
      <c r="BJ107" s="96"/>
      <c r="BK107" s="96"/>
      <c r="BL107" s="96"/>
      <c r="BM107" s="96"/>
      <c r="BO107" s="96"/>
      <c r="BQ107" s="96"/>
      <c r="BR107" s="96"/>
      <c r="BS107" s="96"/>
      <c r="BT107" s="96"/>
      <c r="BU107" s="96"/>
      <c r="BV107" s="99"/>
      <c r="BW107" s="99"/>
      <c r="BX107" s="96"/>
      <c r="BY107" s="96"/>
      <c r="BZ107" s="99"/>
      <c r="CA107" s="96"/>
      <c r="CB107" s="96"/>
      <c r="CC107" s="96"/>
      <c r="CD107" s="96"/>
      <c r="CE107" s="96"/>
      <c r="CI107" s="100"/>
      <c r="CJ107" s="100"/>
      <c r="CK107" s="100"/>
      <c r="CL107" s="100"/>
      <c r="CM107" s="100"/>
      <c r="CN107" s="100"/>
      <c r="CO107" s="100"/>
      <c r="CP107" s="100"/>
    </row>
    <row r="108" spans="1:94" ht="13">
      <c r="A108" s="96"/>
      <c r="B108" s="96"/>
      <c r="C108" s="96"/>
      <c r="D108" s="96"/>
      <c r="E108" s="96"/>
      <c r="F108" s="96"/>
      <c r="G108" s="96"/>
      <c r="H108" s="97"/>
      <c r="I108" s="96"/>
      <c r="J108" s="96"/>
      <c r="K108" s="96"/>
      <c r="L108" s="96"/>
      <c r="M108" s="96"/>
      <c r="N108" s="96"/>
      <c r="O108" s="96"/>
      <c r="P108" s="96"/>
      <c r="Q108" s="98"/>
      <c r="R108" s="99"/>
      <c r="S108" s="96"/>
      <c r="T108" s="99"/>
      <c r="U108" s="99"/>
      <c r="V108" s="99"/>
      <c r="W108" s="99"/>
      <c r="X108" s="96"/>
      <c r="Y108" s="99"/>
      <c r="Z108" s="99"/>
      <c r="AA108" s="99"/>
      <c r="AB108" s="99"/>
      <c r="AC108" s="99"/>
      <c r="AD108" s="99"/>
      <c r="AE108" s="99"/>
      <c r="AF108" s="99"/>
      <c r="AG108" s="99"/>
      <c r="AH108" s="99"/>
      <c r="AI108" s="96"/>
      <c r="AJ108" s="96"/>
      <c r="AK108" s="96"/>
      <c r="AL108" s="96"/>
      <c r="AM108" s="99"/>
      <c r="AN108" s="99"/>
      <c r="AO108" s="99"/>
      <c r="AP108" s="99"/>
      <c r="AQ108" s="99"/>
      <c r="AR108" s="99"/>
      <c r="AS108" s="96"/>
      <c r="AT108" s="96"/>
      <c r="AU108" s="96"/>
      <c r="BA108" s="96"/>
      <c r="BB108" s="96"/>
      <c r="BC108" s="96"/>
      <c r="BD108" s="96"/>
      <c r="BE108" s="96"/>
      <c r="BI108" s="96"/>
      <c r="BJ108" s="96"/>
      <c r="BK108" s="96"/>
      <c r="BL108" s="96"/>
      <c r="BM108" s="96"/>
      <c r="BO108" s="96"/>
      <c r="BQ108" s="96"/>
      <c r="BR108" s="96"/>
      <c r="BS108" s="96"/>
      <c r="BT108" s="96"/>
      <c r="BU108" s="96"/>
      <c r="BV108" s="99"/>
      <c r="BW108" s="99"/>
      <c r="BX108" s="96"/>
      <c r="BY108" s="96"/>
      <c r="BZ108" s="99"/>
      <c r="CA108" s="96"/>
      <c r="CB108" s="96"/>
      <c r="CC108" s="96"/>
      <c r="CD108" s="96"/>
      <c r="CE108" s="96"/>
      <c r="CI108" s="100"/>
      <c r="CJ108" s="100"/>
      <c r="CK108" s="100"/>
      <c r="CL108" s="100"/>
      <c r="CM108" s="100"/>
      <c r="CN108" s="100"/>
      <c r="CO108" s="100"/>
      <c r="CP108" s="100"/>
    </row>
    <row r="109" spans="1:94" ht="13">
      <c r="A109" s="96"/>
      <c r="B109" s="96"/>
      <c r="C109" s="96"/>
      <c r="D109" s="96"/>
      <c r="E109" s="96"/>
      <c r="F109" s="96"/>
      <c r="G109" s="96"/>
      <c r="H109" s="97"/>
      <c r="I109" s="96"/>
      <c r="J109" s="96"/>
      <c r="K109" s="96"/>
      <c r="L109" s="96"/>
      <c r="M109" s="96"/>
      <c r="N109" s="96"/>
      <c r="O109" s="96"/>
      <c r="P109" s="96"/>
      <c r="Q109" s="98"/>
      <c r="R109" s="99"/>
      <c r="S109" s="96"/>
      <c r="T109" s="99"/>
      <c r="U109" s="99"/>
      <c r="V109" s="99"/>
      <c r="W109" s="99"/>
      <c r="X109" s="96"/>
      <c r="Y109" s="99"/>
      <c r="Z109" s="99"/>
      <c r="AA109" s="99"/>
      <c r="AB109" s="99"/>
      <c r="AC109" s="99"/>
      <c r="AD109" s="99"/>
      <c r="AE109" s="99"/>
      <c r="AF109" s="99"/>
      <c r="AG109" s="99"/>
      <c r="AH109" s="99"/>
      <c r="AI109" s="96"/>
      <c r="AJ109" s="96"/>
      <c r="AK109" s="96"/>
      <c r="AL109" s="96"/>
      <c r="AM109" s="99"/>
      <c r="AN109" s="99"/>
      <c r="AO109" s="99"/>
      <c r="AP109" s="99"/>
      <c r="AQ109" s="99"/>
      <c r="AR109" s="99"/>
      <c r="AS109" s="96"/>
      <c r="AT109" s="96"/>
      <c r="AU109" s="96"/>
      <c r="BA109" s="96"/>
      <c r="BB109" s="96"/>
      <c r="BC109" s="96"/>
      <c r="BD109" s="96"/>
      <c r="BE109" s="96"/>
      <c r="BI109" s="96"/>
      <c r="BJ109" s="96"/>
      <c r="BK109" s="96"/>
      <c r="BL109" s="96"/>
      <c r="BM109" s="96"/>
      <c r="BO109" s="96"/>
      <c r="BQ109" s="96"/>
      <c r="BR109" s="96"/>
      <c r="BS109" s="96"/>
      <c r="BT109" s="96"/>
      <c r="BU109" s="96"/>
      <c r="BV109" s="99"/>
      <c r="BW109" s="99"/>
      <c r="BX109" s="96"/>
      <c r="BY109" s="96"/>
      <c r="BZ109" s="99"/>
      <c r="CA109" s="96"/>
      <c r="CB109" s="96"/>
      <c r="CC109" s="96"/>
      <c r="CD109" s="96"/>
      <c r="CE109" s="96"/>
      <c r="CI109" s="100"/>
      <c r="CJ109" s="100"/>
      <c r="CK109" s="100"/>
      <c r="CL109" s="100"/>
      <c r="CM109" s="100"/>
      <c r="CN109" s="100"/>
      <c r="CO109" s="100"/>
      <c r="CP109" s="100"/>
    </row>
    <row r="110" spans="1:94" ht="13">
      <c r="A110" s="96"/>
      <c r="B110" s="96"/>
      <c r="C110" s="96"/>
      <c r="D110" s="96"/>
      <c r="E110" s="96"/>
      <c r="F110" s="96"/>
      <c r="G110" s="96"/>
      <c r="H110" s="97"/>
      <c r="I110" s="96"/>
      <c r="J110" s="96"/>
      <c r="K110" s="96"/>
      <c r="L110" s="96"/>
      <c r="M110" s="96"/>
      <c r="N110" s="96"/>
      <c r="O110" s="96"/>
      <c r="P110" s="96"/>
      <c r="Q110" s="98"/>
      <c r="R110" s="99"/>
      <c r="S110" s="96"/>
      <c r="T110" s="99"/>
      <c r="U110" s="99"/>
      <c r="V110" s="99"/>
      <c r="W110" s="99"/>
      <c r="X110" s="96"/>
      <c r="Y110" s="99"/>
      <c r="Z110" s="99"/>
      <c r="AA110" s="99"/>
      <c r="AB110" s="99"/>
      <c r="AC110" s="99"/>
      <c r="AD110" s="99"/>
      <c r="AE110" s="99"/>
      <c r="AF110" s="99"/>
      <c r="AG110" s="99"/>
      <c r="AH110" s="99"/>
      <c r="AI110" s="96"/>
      <c r="AJ110" s="96"/>
      <c r="AK110" s="96"/>
      <c r="AL110" s="96"/>
      <c r="AM110" s="99"/>
      <c r="AN110" s="99"/>
      <c r="AO110" s="99"/>
      <c r="AP110" s="99"/>
      <c r="AQ110" s="99"/>
      <c r="AR110" s="99"/>
      <c r="AS110" s="96"/>
      <c r="AT110" s="96"/>
      <c r="AU110" s="96"/>
      <c r="BA110" s="96"/>
      <c r="BB110" s="96"/>
      <c r="BC110" s="96"/>
      <c r="BD110" s="96"/>
      <c r="BE110" s="96"/>
      <c r="BI110" s="96"/>
      <c r="BJ110" s="96"/>
      <c r="BK110" s="96"/>
      <c r="BL110" s="96"/>
      <c r="BM110" s="96"/>
      <c r="BO110" s="96"/>
      <c r="BQ110" s="96"/>
      <c r="BR110" s="96"/>
      <c r="BS110" s="96"/>
      <c r="BT110" s="96"/>
      <c r="BU110" s="96"/>
      <c r="BV110" s="99"/>
      <c r="BW110" s="99"/>
      <c r="BX110" s="96"/>
      <c r="BY110" s="96"/>
      <c r="BZ110" s="99"/>
      <c r="CA110" s="96"/>
      <c r="CB110" s="96"/>
      <c r="CC110" s="96"/>
      <c r="CD110" s="96"/>
      <c r="CE110" s="96"/>
      <c r="CI110" s="100"/>
      <c r="CJ110" s="100"/>
      <c r="CK110" s="100"/>
      <c r="CL110" s="100"/>
      <c r="CM110" s="100"/>
      <c r="CN110" s="100"/>
      <c r="CO110" s="100"/>
      <c r="CP110" s="100"/>
    </row>
    <row r="111" spans="1:94" ht="13">
      <c r="A111" s="96"/>
      <c r="B111" s="96"/>
      <c r="C111" s="96"/>
      <c r="D111" s="96"/>
      <c r="E111" s="96"/>
      <c r="F111" s="96"/>
      <c r="G111" s="96"/>
      <c r="H111" s="97"/>
      <c r="I111" s="96"/>
      <c r="J111" s="96"/>
      <c r="K111" s="96"/>
      <c r="L111" s="96"/>
      <c r="M111" s="96"/>
      <c r="N111" s="96"/>
      <c r="O111" s="96"/>
      <c r="P111" s="96"/>
      <c r="Q111" s="98"/>
      <c r="S111" s="96"/>
      <c r="X111" s="96"/>
      <c r="AI111" s="96"/>
      <c r="AJ111" s="96"/>
      <c r="AK111" s="96"/>
      <c r="AL111" s="96"/>
      <c r="AS111" s="96"/>
      <c r="AT111" s="96"/>
      <c r="AU111" s="96"/>
      <c r="BA111" s="96"/>
      <c r="BB111" s="96"/>
      <c r="BC111" s="96"/>
      <c r="BD111" s="96"/>
      <c r="BE111" s="96"/>
      <c r="BI111" s="96"/>
      <c r="BJ111" s="96"/>
      <c r="BK111" s="96"/>
      <c r="BL111" s="96"/>
      <c r="BM111" s="96"/>
      <c r="BO111" s="96"/>
      <c r="BQ111" s="96"/>
      <c r="BR111" s="96"/>
      <c r="BS111" s="96"/>
      <c r="BT111" s="96"/>
      <c r="BU111" s="96"/>
      <c r="BV111" s="99"/>
      <c r="BW111" s="99"/>
      <c r="BX111" s="96"/>
      <c r="BY111" s="96"/>
      <c r="BZ111" s="99"/>
      <c r="CA111" s="96"/>
      <c r="CB111" s="96"/>
      <c r="CC111" s="96"/>
      <c r="CD111" s="96"/>
      <c r="CE111" s="96"/>
      <c r="CI111" s="100"/>
      <c r="CJ111" s="100"/>
      <c r="CK111" s="100"/>
      <c r="CL111" s="100"/>
      <c r="CM111" s="100"/>
      <c r="CN111" s="100"/>
      <c r="CO111" s="100"/>
      <c r="CP111" s="100"/>
    </row>
    <row r="112" spans="1:94" ht="13">
      <c r="A112" s="96"/>
      <c r="B112" s="96"/>
      <c r="C112" s="96"/>
      <c r="D112" s="96"/>
      <c r="E112" s="96"/>
      <c r="F112" s="96"/>
      <c r="G112" s="96"/>
      <c r="H112" s="97"/>
      <c r="I112" s="96"/>
      <c r="J112" s="96"/>
      <c r="K112" s="96"/>
      <c r="L112" s="96"/>
      <c r="M112" s="96"/>
      <c r="N112" s="96"/>
      <c r="O112" s="96"/>
      <c r="P112" s="96"/>
      <c r="Q112" s="98"/>
      <c r="S112" s="96"/>
      <c r="X112" s="96"/>
      <c r="AI112" s="96"/>
      <c r="AJ112" s="96"/>
      <c r="AK112" s="96"/>
      <c r="AL112" s="96"/>
      <c r="AS112" s="96"/>
      <c r="AT112" s="96"/>
      <c r="AU112" s="96"/>
      <c r="BA112" s="96"/>
      <c r="BB112" s="96"/>
      <c r="BC112" s="96"/>
      <c r="BD112" s="96"/>
      <c r="BE112" s="96"/>
      <c r="BI112" s="96"/>
      <c r="BJ112" s="96"/>
      <c r="BK112" s="96"/>
      <c r="BL112" s="96"/>
      <c r="BM112" s="96"/>
      <c r="BO112" s="96"/>
      <c r="BQ112" s="96"/>
      <c r="BR112" s="96"/>
      <c r="BS112" s="96"/>
      <c r="BT112" s="96"/>
      <c r="BU112" s="96"/>
      <c r="BV112" s="99"/>
      <c r="BW112" s="99"/>
      <c r="BX112" s="96"/>
      <c r="BY112" s="96"/>
      <c r="BZ112" s="99"/>
      <c r="CA112" s="96"/>
      <c r="CB112" s="96"/>
      <c r="CC112" s="96"/>
      <c r="CD112" s="96"/>
      <c r="CE112" s="96"/>
      <c r="CI112" s="100"/>
      <c r="CJ112" s="100"/>
      <c r="CK112" s="100"/>
      <c r="CL112" s="100"/>
      <c r="CM112" s="100"/>
      <c r="CN112" s="100"/>
      <c r="CO112" s="100"/>
      <c r="CP112" s="100"/>
    </row>
    <row r="113" spans="1:94" ht="13">
      <c r="A113" s="96"/>
      <c r="B113" s="96"/>
      <c r="C113" s="96"/>
      <c r="D113" s="96"/>
      <c r="E113" s="96"/>
      <c r="F113" s="96"/>
      <c r="G113" s="96"/>
      <c r="H113" s="97"/>
      <c r="I113" s="96"/>
      <c r="J113" s="96"/>
      <c r="K113" s="96"/>
      <c r="L113" s="96"/>
      <c r="M113" s="96"/>
      <c r="N113" s="96"/>
      <c r="O113" s="96"/>
      <c r="P113" s="96"/>
      <c r="Q113" s="98"/>
      <c r="S113" s="96"/>
      <c r="X113" s="96"/>
      <c r="AI113" s="96"/>
      <c r="AJ113" s="96"/>
      <c r="AK113" s="96"/>
      <c r="AL113" s="96"/>
      <c r="AS113" s="96"/>
      <c r="AT113" s="96"/>
      <c r="AU113" s="96"/>
      <c r="BA113" s="96"/>
      <c r="BB113" s="96"/>
      <c r="BC113" s="96"/>
      <c r="BD113" s="96"/>
      <c r="BE113" s="96"/>
      <c r="BI113" s="96"/>
      <c r="BJ113" s="96"/>
      <c r="BK113" s="96"/>
      <c r="BL113" s="96"/>
      <c r="BM113" s="96"/>
      <c r="BO113" s="96"/>
      <c r="BQ113" s="96"/>
      <c r="BR113" s="96"/>
      <c r="BS113" s="96"/>
      <c r="BT113" s="96"/>
      <c r="BU113" s="96"/>
      <c r="BV113" s="99"/>
      <c r="BW113" s="99"/>
      <c r="BX113" s="96"/>
      <c r="BY113" s="96"/>
      <c r="BZ113" s="99"/>
      <c r="CA113" s="96"/>
      <c r="CB113" s="96"/>
      <c r="CC113" s="96"/>
      <c r="CD113" s="96"/>
      <c r="CE113" s="96"/>
      <c r="CI113" s="100"/>
      <c r="CJ113" s="100"/>
      <c r="CK113" s="100"/>
      <c r="CL113" s="100"/>
      <c r="CM113" s="100"/>
      <c r="CN113" s="100"/>
      <c r="CO113" s="100"/>
      <c r="CP113" s="100"/>
    </row>
    <row r="114" spans="1:94" ht="13">
      <c r="A114" s="96"/>
      <c r="B114" s="96"/>
      <c r="C114" s="96"/>
      <c r="D114" s="96"/>
      <c r="E114" s="96"/>
      <c r="F114" s="96"/>
      <c r="G114" s="96"/>
      <c r="H114" s="97"/>
      <c r="I114" s="96"/>
      <c r="J114" s="96"/>
      <c r="K114" s="96"/>
      <c r="L114" s="96"/>
      <c r="M114" s="96"/>
      <c r="N114" s="96"/>
      <c r="O114" s="96"/>
      <c r="P114" s="96"/>
      <c r="Q114" s="98"/>
      <c r="S114" s="96"/>
      <c r="X114" s="96"/>
      <c r="AI114" s="96"/>
      <c r="AJ114" s="96"/>
      <c r="AK114" s="96"/>
      <c r="AL114" s="96"/>
      <c r="AS114" s="96"/>
      <c r="AT114" s="96"/>
      <c r="AU114" s="96"/>
      <c r="BA114" s="96"/>
      <c r="BB114" s="96"/>
      <c r="BC114" s="96"/>
      <c r="BD114" s="96"/>
      <c r="BE114" s="96"/>
      <c r="BI114" s="96"/>
      <c r="BJ114" s="96"/>
      <c r="BK114" s="96"/>
      <c r="BL114" s="96"/>
      <c r="BM114" s="96"/>
      <c r="BO114" s="96"/>
      <c r="BQ114" s="96"/>
      <c r="BR114" s="96"/>
      <c r="BS114" s="96"/>
      <c r="BT114" s="96"/>
      <c r="BU114" s="96"/>
      <c r="BV114" s="99"/>
      <c r="BW114" s="99"/>
      <c r="BX114" s="96"/>
      <c r="BY114" s="96"/>
      <c r="BZ114" s="99"/>
      <c r="CA114" s="96"/>
      <c r="CB114" s="96"/>
      <c r="CC114" s="96"/>
      <c r="CD114" s="96"/>
      <c r="CE114" s="96"/>
      <c r="CI114" s="100"/>
      <c r="CJ114" s="100"/>
      <c r="CK114" s="100"/>
      <c r="CL114" s="100"/>
      <c r="CM114" s="100"/>
      <c r="CN114" s="100"/>
      <c r="CO114" s="100"/>
      <c r="CP114" s="100"/>
    </row>
    <row r="115" spans="1:94" ht="13">
      <c r="A115" s="96"/>
      <c r="B115" s="96"/>
      <c r="C115" s="96"/>
      <c r="D115" s="96"/>
      <c r="E115" s="96"/>
      <c r="F115" s="96"/>
      <c r="G115" s="96"/>
      <c r="H115" s="97"/>
      <c r="I115" s="96"/>
      <c r="J115" s="96"/>
      <c r="K115" s="96"/>
      <c r="L115" s="96"/>
      <c r="M115" s="96"/>
      <c r="N115" s="96"/>
      <c r="O115" s="96"/>
      <c r="P115" s="96"/>
      <c r="Q115" s="98"/>
      <c r="S115" s="96"/>
      <c r="X115" s="96"/>
      <c r="AI115" s="96"/>
      <c r="AJ115" s="96"/>
      <c r="AK115" s="96"/>
      <c r="AL115" s="96"/>
      <c r="AS115" s="96"/>
      <c r="AT115" s="96"/>
      <c r="AU115" s="96"/>
      <c r="BA115" s="96"/>
      <c r="BB115" s="96"/>
      <c r="BC115" s="96"/>
      <c r="BD115" s="96"/>
      <c r="BE115" s="96"/>
      <c r="BI115" s="96"/>
      <c r="BJ115" s="96"/>
      <c r="BK115" s="96"/>
      <c r="BL115" s="96"/>
      <c r="BM115" s="96"/>
      <c r="BO115" s="96"/>
      <c r="BQ115" s="96"/>
      <c r="BR115" s="96"/>
      <c r="BS115" s="96"/>
      <c r="BT115" s="96"/>
      <c r="BU115" s="96"/>
      <c r="BV115" s="99"/>
      <c r="BW115" s="99"/>
      <c r="BX115" s="96"/>
      <c r="BY115" s="96"/>
      <c r="BZ115" s="99"/>
      <c r="CA115" s="96"/>
      <c r="CB115" s="96"/>
      <c r="CC115" s="96"/>
      <c r="CD115" s="96"/>
      <c r="CE115" s="96"/>
      <c r="CI115" s="100"/>
      <c r="CJ115" s="100"/>
      <c r="CK115" s="100"/>
      <c r="CL115" s="100"/>
      <c r="CM115" s="100"/>
      <c r="CN115" s="100"/>
      <c r="CO115" s="100"/>
      <c r="CP115" s="100"/>
    </row>
    <row r="116" spans="1:94" ht="13">
      <c r="A116" s="96"/>
      <c r="B116" s="96"/>
      <c r="C116" s="96"/>
      <c r="D116" s="96"/>
      <c r="E116" s="96"/>
      <c r="F116" s="96"/>
      <c r="G116" s="96"/>
      <c r="H116" s="97"/>
      <c r="I116" s="96"/>
      <c r="J116" s="96"/>
      <c r="K116" s="96"/>
      <c r="L116" s="96"/>
      <c r="M116" s="96"/>
      <c r="N116" s="96"/>
      <c r="O116" s="96"/>
      <c r="P116" s="96"/>
      <c r="Q116" s="98"/>
      <c r="S116" s="96"/>
      <c r="X116" s="96"/>
      <c r="AI116" s="96"/>
      <c r="AJ116" s="96"/>
      <c r="AK116" s="96"/>
      <c r="AL116" s="96"/>
      <c r="AS116" s="96"/>
      <c r="AT116" s="96"/>
      <c r="AU116" s="96"/>
      <c r="BA116" s="96"/>
      <c r="BB116" s="96"/>
      <c r="BC116" s="96"/>
      <c r="BD116" s="96"/>
      <c r="BE116" s="96"/>
      <c r="BI116" s="96"/>
      <c r="BJ116" s="96"/>
      <c r="BK116" s="96"/>
      <c r="BL116" s="96"/>
      <c r="BM116" s="96"/>
      <c r="BO116" s="96"/>
      <c r="BQ116" s="96"/>
      <c r="BR116" s="96"/>
      <c r="BS116" s="96"/>
      <c r="BT116" s="96"/>
      <c r="BU116" s="96"/>
      <c r="BV116" s="99"/>
      <c r="BW116" s="99"/>
      <c r="BX116" s="96"/>
      <c r="BY116" s="96"/>
      <c r="BZ116" s="99"/>
      <c r="CA116" s="96"/>
      <c r="CB116" s="96"/>
      <c r="CC116" s="96"/>
      <c r="CD116" s="96"/>
      <c r="CE116" s="96"/>
      <c r="CI116" s="100"/>
      <c r="CJ116" s="100"/>
      <c r="CK116" s="100"/>
      <c r="CL116" s="100"/>
      <c r="CM116" s="100"/>
      <c r="CN116" s="100"/>
      <c r="CO116" s="100"/>
      <c r="CP116" s="100"/>
    </row>
    <row r="117" spans="1:94" ht="13">
      <c r="A117" s="96"/>
      <c r="B117" s="96"/>
      <c r="C117" s="96"/>
      <c r="D117" s="96"/>
      <c r="E117" s="96"/>
      <c r="F117" s="96"/>
      <c r="G117" s="96"/>
      <c r="H117" s="97"/>
      <c r="I117" s="96"/>
      <c r="J117" s="96"/>
      <c r="K117" s="96"/>
      <c r="L117" s="96"/>
      <c r="M117" s="96"/>
      <c r="N117" s="96"/>
      <c r="O117" s="96"/>
      <c r="P117" s="96"/>
      <c r="Q117" s="98"/>
      <c r="S117" s="96"/>
      <c r="X117" s="96"/>
      <c r="AI117" s="96"/>
      <c r="AJ117" s="96"/>
      <c r="AK117" s="96"/>
      <c r="AL117" s="96"/>
      <c r="AS117" s="96"/>
      <c r="AT117" s="96"/>
      <c r="AU117" s="96"/>
      <c r="BA117" s="96"/>
      <c r="BB117" s="96"/>
      <c r="BC117" s="96"/>
      <c r="BD117" s="96"/>
      <c r="BE117" s="96"/>
      <c r="BI117" s="96"/>
      <c r="BJ117" s="96"/>
      <c r="BK117" s="96"/>
      <c r="BL117" s="96"/>
      <c r="BM117" s="96"/>
      <c r="BO117" s="96"/>
      <c r="BQ117" s="96"/>
      <c r="BR117" s="96"/>
      <c r="BS117" s="96"/>
      <c r="BT117" s="96"/>
      <c r="BU117" s="96"/>
      <c r="BV117" s="99"/>
      <c r="BW117" s="99"/>
      <c r="BX117" s="96"/>
      <c r="BY117" s="96"/>
      <c r="BZ117" s="99"/>
      <c r="CA117" s="96"/>
      <c r="CB117" s="96"/>
      <c r="CC117" s="96"/>
      <c r="CD117" s="96"/>
      <c r="CE117" s="96"/>
      <c r="CI117" s="100"/>
      <c r="CJ117" s="100"/>
      <c r="CK117" s="100"/>
      <c r="CL117" s="100"/>
      <c r="CM117" s="100"/>
      <c r="CN117" s="100"/>
      <c r="CO117" s="100"/>
      <c r="CP117" s="100"/>
    </row>
    <row r="118" spans="1:94" ht="13">
      <c r="A118" s="96"/>
      <c r="B118" s="96"/>
      <c r="C118" s="96"/>
      <c r="D118" s="96"/>
      <c r="E118" s="96"/>
      <c r="F118" s="96"/>
      <c r="G118" s="96"/>
      <c r="H118" s="97"/>
      <c r="I118" s="96"/>
      <c r="J118" s="96"/>
      <c r="K118" s="96"/>
      <c r="L118" s="96"/>
      <c r="M118" s="96"/>
      <c r="N118" s="96"/>
      <c r="O118" s="96"/>
      <c r="P118" s="96"/>
      <c r="Q118" s="98"/>
      <c r="S118" s="96"/>
      <c r="X118" s="96"/>
      <c r="AI118" s="96"/>
      <c r="AJ118" s="96"/>
      <c r="AK118" s="96"/>
      <c r="AL118" s="96"/>
      <c r="AS118" s="96"/>
      <c r="AT118" s="96"/>
      <c r="AU118" s="96"/>
      <c r="BA118" s="96"/>
      <c r="BB118" s="96"/>
      <c r="BC118" s="96"/>
      <c r="BD118" s="96"/>
      <c r="BE118" s="96"/>
      <c r="BI118" s="96"/>
      <c r="BJ118" s="96"/>
      <c r="BK118" s="96"/>
      <c r="BL118" s="96"/>
      <c r="BM118" s="96"/>
      <c r="BO118" s="96"/>
      <c r="BQ118" s="96"/>
      <c r="BR118" s="96"/>
      <c r="BS118" s="96"/>
      <c r="BT118" s="96"/>
      <c r="BU118" s="96"/>
      <c r="BV118" s="99"/>
      <c r="BW118" s="99"/>
      <c r="BX118" s="96"/>
      <c r="BY118" s="96"/>
      <c r="BZ118" s="99"/>
      <c r="CA118" s="96"/>
      <c r="CB118" s="96"/>
      <c r="CC118" s="96"/>
      <c r="CD118" s="96"/>
      <c r="CE118" s="96"/>
      <c r="CI118" s="100"/>
      <c r="CJ118" s="100"/>
      <c r="CK118" s="100"/>
      <c r="CL118" s="100"/>
      <c r="CM118" s="100"/>
      <c r="CN118" s="100"/>
      <c r="CO118" s="100"/>
      <c r="CP118" s="100"/>
    </row>
    <row r="119" spans="1:94" ht="13">
      <c r="A119" s="96"/>
      <c r="B119" s="96"/>
      <c r="C119" s="96"/>
      <c r="D119" s="96"/>
      <c r="E119" s="96"/>
      <c r="F119" s="96"/>
      <c r="G119" s="96"/>
      <c r="H119" s="97"/>
      <c r="I119" s="96"/>
      <c r="J119" s="96"/>
      <c r="K119" s="96"/>
      <c r="L119" s="96"/>
      <c r="M119" s="96"/>
      <c r="N119" s="96"/>
      <c r="O119" s="96"/>
      <c r="P119" s="96"/>
      <c r="Q119" s="98"/>
      <c r="S119" s="96"/>
      <c r="X119" s="96"/>
      <c r="AI119" s="96"/>
      <c r="AJ119" s="96"/>
      <c r="AK119" s="96"/>
      <c r="AL119" s="96"/>
      <c r="AS119" s="96"/>
      <c r="AT119" s="96"/>
      <c r="AU119" s="96"/>
      <c r="BA119" s="96"/>
      <c r="BB119" s="96"/>
      <c r="BC119" s="96"/>
      <c r="BD119" s="96"/>
      <c r="BE119" s="96"/>
      <c r="BI119" s="96"/>
      <c r="BJ119" s="96"/>
      <c r="BK119" s="96"/>
      <c r="BL119" s="96"/>
      <c r="BM119" s="96"/>
      <c r="BO119" s="96"/>
      <c r="BQ119" s="96"/>
      <c r="BR119" s="96"/>
      <c r="BS119" s="96"/>
      <c r="BT119" s="96"/>
      <c r="BU119" s="96"/>
      <c r="BV119" s="99"/>
      <c r="BW119" s="99"/>
      <c r="BX119" s="96"/>
      <c r="BY119" s="96"/>
      <c r="BZ119" s="99"/>
      <c r="CA119" s="96"/>
      <c r="CB119" s="96"/>
      <c r="CC119" s="96"/>
      <c r="CD119" s="96"/>
      <c r="CE119" s="96"/>
      <c r="CI119" s="100"/>
      <c r="CJ119" s="100"/>
      <c r="CK119" s="100"/>
      <c r="CL119" s="100"/>
      <c r="CM119" s="100"/>
      <c r="CN119" s="100"/>
      <c r="CO119" s="100"/>
      <c r="CP119" s="100"/>
    </row>
    <row r="120" spans="1:94" ht="13">
      <c r="A120" s="96"/>
      <c r="B120" s="96"/>
      <c r="C120" s="96"/>
      <c r="D120" s="96"/>
      <c r="E120" s="96"/>
      <c r="F120" s="96"/>
      <c r="G120" s="96"/>
      <c r="H120" s="97"/>
      <c r="I120" s="96"/>
      <c r="J120" s="96"/>
      <c r="K120" s="96"/>
      <c r="L120" s="96"/>
      <c r="M120" s="96"/>
      <c r="N120" s="96"/>
      <c r="O120" s="96"/>
      <c r="P120" s="96"/>
      <c r="Q120" s="98"/>
      <c r="S120" s="96"/>
      <c r="X120" s="96"/>
      <c r="AI120" s="96"/>
      <c r="AJ120" s="96"/>
      <c r="AK120" s="96"/>
      <c r="AL120" s="96"/>
      <c r="AS120" s="96"/>
      <c r="AT120" s="96"/>
      <c r="AU120" s="96"/>
      <c r="BA120" s="96"/>
      <c r="BB120" s="96"/>
      <c r="BC120" s="96"/>
      <c r="BD120" s="96"/>
      <c r="BE120" s="96"/>
      <c r="BI120" s="96"/>
      <c r="BJ120" s="96"/>
      <c r="BK120" s="96"/>
      <c r="BL120" s="96"/>
      <c r="BM120" s="96"/>
      <c r="BO120" s="96"/>
      <c r="BQ120" s="96"/>
      <c r="BR120" s="96"/>
      <c r="BS120" s="96"/>
      <c r="BT120" s="96"/>
      <c r="BU120" s="96"/>
      <c r="BV120" s="99"/>
      <c r="BW120" s="99"/>
      <c r="BX120" s="96"/>
      <c r="BY120" s="96"/>
      <c r="BZ120" s="99"/>
      <c r="CA120" s="96"/>
      <c r="CB120" s="96"/>
      <c r="CC120" s="96"/>
      <c r="CD120" s="96"/>
      <c r="CE120" s="96"/>
      <c r="CI120" s="100"/>
      <c r="CJ120" s="100"/>
      <c r="CK120" s="100"/>
      <c r="CL120" s="100"/>
      <c r="CM120" s="100"/>
      <c r="CN120" s="100"/>
      <c r="CO120" s="100"/>
      <c r="CP120" s="100"/>
    </row>
    <row r="121" spans="1:94" ht="13">
      <c r="A121" s="96"/>
      <c r="B121" s="96"/>
      <c r="C121" s="96"/>
      <c r="D121" s="96"/>
      <c r="E121" s="96"/>
      <c r="F121" s="96"/>
      <c r="G121" s="96"/>
      <c r="H121" s="97"/>
      <c r="I121" s="96"/>
      <c r="J121" s="96"/>
      <c r="K121" s="96"/>
      <c r="L121" s="96"/>
      <c r="M121" s="96"/>
      <c r="N121" s="96"/>
      <c r="O121" s="96"/>
      <c r="P121" s="96"/>
      <c r="Q121" s="98"/>
      <c r="S121" s="96"/>
      <c r="X121" s="96"/>
      <c r="AI121" s="96"/>
      <c r="AJ121" s="96"/>
      <c r="AK121" s="96"/>
      <c r="AL121" s="96"/>
      <c r="AS121" s="96"/>
      <c r="AT121" s="96"/>
      <c r="AU121" s="96"/>
      <c r="BA121" s="96"/>
      <c r="BB121" s="96"/>
      <c r="BC121" s="96"/>
      <c r="BD121" s="96"/>
      <c r="BE121" s="96"/>
      <c r="BI121" s="96"/>
      <c r="BJ121" s="96"/>
      <c r="BK121" s="96"/>
      <c r="BL121" s="96"/>
      <c r="BM121" s="96"/>
      <c r="BO121" s="96"/>
      <c r="BQ121" s="96"/>
      <c r="BR121" s="96"/>
      <c r="BS121" s="96"/>
      <c r="BT121" s="96"/>
      <c r="BU121" s="96"/>
      <c r="BV121" s="99"/>
      <c r="BW121" s="99"/>
      <c r="BX121" s="96"/>
      <c r="BY121" s="96"/>
      <c r="BZ121" s="99"/>
      <c r="CA121" s="96"/>
      <c r="CB121" s="96"/>
      <c r="CC121" s="96"/>
      <c r="CD121" s="96"/>
      <c r="CE121" s="96"/>
      <c r="CI121" s="100"/>
      <c r="CJ121" s="100"/>
      <c r="CK121" s="100"/>
      <c r="CL121" s="100"/>
      <c r="CM121" s="100"/>
      <c r="CN121" s="100"/>
      <c r="CO121" s="100"/>
      <c r="CP121" s="100"/>
    </row>
    <row r="122" spans="1:94" ht="13">
      <c r="A122" s="96"/>
      <c r="B122" s="96"/>
      <c r="C122" s="96"/>
      <c r="D122" s="96"/>
      <c r="E122" s="96"/>
      <c r="F122" s="96"/>
      <c r="G122" s="96"/>
      <c r="H122" s="97"/>
      <c r="I122" s="96"/>
      <c r="J122" s="96"/>
      <c r="K122" s="96"/>
      <c r="L122" s="96"/>
      <c r="M122" s="96"/>
      <c r="N122" s="96"/>
      <c r="O122" s="96"/>
      <c r="P122" s="96"/>
      <c r="Q122" s="98"/>
      <c r="S122" s="96"/>
      <c r="X122" s="96"/>
      <c r="AI122" s="96"/>
      <c r="AJ122" s="96"/>
      <c r="AK122" s="96"/>
      <c r="AL122" s="96"/>
      <c r="AS122" s="96"/>
      <c r="AT122" s="96"/>
      <c r="AU122" s="96"/>
      <c r="BA122" s="96"/>
      <c r="BB122" s="96"/>
      <c r="BC122" s="96"/>
      <c r="BD122" s="96"/>
      <c r="BE122" s="96"/>
      <c r="BI122" s="96"/>
      <c r="BJ122" s="96"/>
      <c r="BK122" s="96"/>
      <c r="BL122" s="96"/>
      <c r="BM122" s="96"/>
      <c r="BO122" s="96"/>
      <c r="BQ122" s="96"/>
      <c r="BR122" s="96"/>
      <c r="BS122" s="96"/>
      <c r="BT122" s="96"/>
      <c r="BU122" s="96"/>
      <c r="BV122" s="99"/>
      <c r="BW122" s="99"/>
      <c r="BX122" s="96"/>
      <c r="BY122" s="96"/>
      <c r="BZ122" s="99"/>
      <c r="CA122" s="96"/>
      <c r="CB122" s="96"/>
      <c r="CC122" s="96"/>
      <c r="CD122" s="96"/>
      <c r="CE122" s="96"/>
      <c r="CI122" s="100"/>
      <c r="CJ122" s="100"/>
      <c r="CK122" s="100"/>
      <c r="CL122" s="100"/>
      <c r="CM122" s="100"/>
      <c r="CN122" s="100"/>
      <c r="CO122" s="100"/>
      <c r="CP122" s="100"/>
    </row>
    <row r="123" spans="1:94" ht="13">
      <c r="A123" s="96"/>
      <c r="B123" s="96"/>
      <c r="C123" s="96"/>
      <c r="D123" s="96"/>
      <c r="E123" s="96"/>
      <c r="F123" s="96"/>
      <c r="G123" s="96"/>
      <c r="H123" s="97"/>
      <c r="I123" s="96"/>
      <c r="J123" s="96"/>
      <c r="K123" s="96"/>
      <c r="L123" s="96"/>
      <c r="M123" s="96"/>
      <c r="N123" s="96"/>
      <c r="O123" s="96"/>
      <c r="P123" s="96"/>
      <c r="Q123" s="98"/>
      <c r="S123" s="96"/>
      <c r="X123" s="96"/>
      <c r="AI123" s="96"/>
      <c r="AJ123" s="96"/>
      <c r="AK123" s="96"/>
      <c r="AL123" s="96"/>
      <c r="AS123" s="96"/>
      <c r="AT123" s="96"/>
      <c r="AU123" s="96"/>
      <c r="BA123" s="96"/>
      <c r="BB123" s="96"/>
      <c r="BC123" s="96"/>
      <c r="BD123" s="96"/>
      <c r="BE123" s="96"/>
      <c r="BI123" s="96"/>
      <c r="BJ123" s="96"/>
      <c r="BK123" s="96"/>
      <c r="BL123" s="96"/>
      <c r="BM123" s="96"/>
      <c r="BO123" s="96"/>
      <c r="BQ123" s="96"/>
      <c r="BR123" s="96"/>
      <c r="BS123" s="96"/>
      <c r="BT123" s="96"/>
      <c r="BU123" s="96"/>
      <c r="BV123" s="99"/>
      <c r="BW123" s="99"/>
      <c r="BX123" s="96"/>
      <c r="BY123" s="96"/>
      <c r="BZ123" s="99"/>
      <c r="CA123" s="96"/>
      <c r="CB123" s="96"/>
      <c r="CC123" s="96"/>
      <c r="CD123" s="96"/>
      <c r="CE123" s="96"/>
      <c r="CI123" s="100"/>
      <c r="CJ123" s="100"/>
      <c r="CK123" s="100"/>
      <c r="CL123" s="100"/>
      <c r="CM123" s="100"/>
      <c r="CN123" s="100"/>
      <c r="CO123" s="100"/>
      <c r="CP123" s="100"/>
    </row>
    <row r="124" spans="1:94" ht="13">
      <c r="A124" s="96"/>
      <c r="B124" s="96"/>
      <c r="C124" s="96"/>
      <c r="D124" s="96"/>
      <c r="E124" s="96"/>
      <c r="F124" s="96"/>
      <c r="G124" s="96"/>
      <c r="H124" s="97"/>
      <c r="I124" s="96"/>
      <c r="J124" s="96"/>
      <c r="K124" s="96"/>
      <c r="L124" s="96"/>
      <c r="M124" s="96"/>
      <c r="N124" s="96"/>
      <c r="O124" s="96"/>
      <c r="P124" s="96"/>
      <c r="Q124" s="98"/>
      <c r="S124" s="96"/>
      <c r="X124" s="96"/>
      <c r="AI124" s="96"/>
      <c r="AJ124" s="96"/>
      <c r="AK124" s="96"/>
      <c r="AL124" s="96"/>
      <c r="AS124" s="96"/>
      <c r="AT124" s="96"/>
      <c r="AU124" s="96"/>
      <c r="BA124" s="96"/>
      <c r="BB124" s="96"/>
      <c r="BC124" s="96"/>
      <c r="BD124" s="96"/>
      <c r="BE124" s="96"/>
      <c r="BI124" s="96"/>
      <c r="BJ124" s="96"/>
      <c r="BK124" s="96"/>
      <c r="BL124" s="96"/>
      <c r="BM124" s="96"/>
      <c r="BO124" s="96"/>
      <c r="BQ124" s="96"/>
      <c r="BR124" s="96"/>
      <c r="BS124" s="96"/>
      <c r="BT124" s="96"/>
      <c r="BU124" s="96"/>
      <c r="BV124" s="99"/>
      <c r="BW124" s="99"/>
      <c r="BX124" s="96"/>
      <c r="BY124" s="96"/>
      <c r="BZ124" s="99"/>
      <c r="CA124" s="96"/>
      <c r="CB124" s="96"/>
      <c r="CC124" s="96"/>
      <c r="CD124" s="96"/>
      <c r="CE124" s="96"/>
      <c r="CI124" s="100"/>
      <c r="CJ124" s="100"/>
      <c r="CK124" s="100"/>
      <c r="CL124" s="100"/>
      <c r="CM124" s="100"/>
      <c r="CN124" s="100"/>
      <c r="CO124" s="100"/>
      <c r="CP124" s="100"/>
    </row>
    <row r="125" spans="1:94" ht="13">
      <c r="A125" s="96"/>
      <c r="B125" s="96"/>
      <c r="C125" s="96"/>
      <c r="D125" s="96"/>
      <c r="E125" s="96"/>
      <c r="F125" s="96"/>
      <c r="G125" s="96"/>
      <c r="H125" s="97"/>
      <c r="I125" s="96"/>
      <c r="J125" s="96"/>
      <c r="K125" s="96"/>
      <c r="L125" s="96"/>
      <c r="M125" s="96"/>
      <c r="N125" s="96"/>
      <c r="O125" s="96"/>
      <c r="P125" s="96"/>
      <c r="Q125" s="98"/>
      <c r="S125" s="96"/>
      <c r="X125" s="96"/>
      <c r="AI125" s="96"/>
      <c r="AJ125" s="96"/>
      <c r="AK125" s="96"/>
      <c r="AL125" s="96"/>
      <c r="AS125" s="96"/>
      <c r="AT125" s="96"/>
      <c r="AU125" s="96"/>
      <c r="BA125" s="96"/>
      <c r="BB125" s="96"/>
      <c r="BC125" s="96"/>
      <c r="BD125" s="96"/>
      <c r="BE125" s="96"/>
      <c r="BI125" s="96"/>
      <c r="BJ125" s="96"/>
      <c r="BK125" s="96"/>
      <c r="BL125" s="96"/>
      <c r="BM125" s="96"/>
      <c r="BO125" s="96"/>
      <c r="BQ125" s="96"/>
      <c r="BR125" s="96"/>
      <c r="BS125" s="96"/>
      <c r="BT125" s="96"/>
      <c r="BU125" s="96"/>
      <c r="BV125" s="99"/>
      <c r="BW125" s="99"/>
      <c r="BX125" s="96"/>
      <c r="BY125" s="96"/>
      <c r="BZ125" s="99"/>
      <c r="CA125" s="96"/>
      <c r="CB125" s="96"/>
      <c r="CC125" s="96"/>
      <c r="CD125" s="96"/>
      <c r="CE125" s="96"/>
      <c r="CI125" s="100"/>
      <c r="CJ125" s="100"/>
      <c r="CK125" s="100"/>
      <c r="CL125" s="100"/>
      <c r="CM125" s="100"/>
      <c r="CN125" s="100"/>
      <c r="CO125" s="100"/>
      <c r="CP125" s="100"/>
    </row>
    <row r="126" spans="1:94" ht="13">
      <c r="A126" s="96"/>
      <c r="B126" s="96"/>
      <c r="C126" s="96"/>
      <c r="D126" s="96"/>
      <c r="E126" s="96"/>
      <c r="F126" s="96"/>
      <c r="G126" s="96"/>
      <c r="H126" s="97"/>
      <c r="I126" s="96"/>
      <c r="J126" s="96"/>
      <c r="K126" s="96"/>
      <c r="L126" s="96"/>
      <c r="M126" s="96"/>
      <c r="N126" s="96"/>
      <c r="O126" s="96"/>
      <c r="P126" s="96"/>
      <c r="Q126" s="98"/>
      <c r="S126" s="96"/>
      <c r="X126" s="96"/>
      <c r="AI126" s="96"/>
      <c r="AJ126" s="96"/>
      <c r="AK126" s="96"/>
      <c r="AL126" s="96"/>
      <c r="AS126" s="96"/>
      <c r="AT126" s="96"/>
      <c r="AU126" s="96"/>
      <c r="BA126" s="96"/>
      <c r="BB126" s="96"/>
      <c r="BC126" s="96"/>
      <c r="BD126" s="96"/>
      <c r="BE126" s="96"/>
      <c r="BI126" s="96"/>
      <c r="BJ126" s="96"/>
      <c r="BK126" s="96"/>
      <c r="BL126" s="96"/>
      <c r="BM126" s="96"/>
      <c r="BO126" s="96"/>
      <c r="BQ126" s="96"/>
      <c r="BR126" s="96"/>
      <c r="BS126" s="96"/>
      <c r="BT126" s="96"/>
      <c r="BU126" s="96"/>
      <c r="BV126" s="99"/>
      <c r="BW126" s="99"/>
      <c r="BX126" s="96"/>
      <c r="BY126" s="96"/>
      <c r="BZ126" s="99"/>
      <c r="CA126" s="96"/>
      <c r="CB126" s="96"/>
      <c r="CC126" s="96"/>
      <c r="CD126" s="96"/>
      <c r="CE126" s="96"/>
      <c r="CI126" s="100"/>
      <c r="CJ126" s="100"/>
      <c r="CK126" s="100"/>
      <c r="CL126" s="100"/>
      <c r="CM126" s="100"/>
      <c r="CN126" s="100"/>
      <c r="CO126" s="100"/>
      <c r="CP126" s="100"/>
    </row>
    <row r="127" spans="1:94" ht="13">
      <c r="A127" s="96"/>
      <c r="B127" s="96"/>
      <c r="C127" s="96"/>
      <c r="D127" s="96"/>
      <c r="E127" s="96"/>
      <c r="F127" s="96"/>
      <c r="G127" s="96"/>
      <c r="H127" s="97"/>
      <c r="I127" s="96"/>
      <c r="J127" s="96"/>
      <c r="K127" s="96"/>
      <c r="L127" s="96"/>
      <c r="M127" s="96"/>
      <c r="N127" s="96"/>
      <c r="O127" s="96"/>
      <c r="P127" s="96"/>
      <c r="Q127" s="98"/>
      <c r="S127" s="96"/>
      <c r="X127" s="96"/>
      <c r="AI127" s="96"/>
      <c r="AJ127" s="96"/>
      <c r="AK127" s="96"/>
      <c r="AL127" s="96"/>
      <c r="AS127" s="96"/>
      <c r="AT127" s="96"/>
      <c r="AU127" s="96"/>
      <c r="BA127" s="96"/>
      <c r="BB127" s="96"/>
      <c r="BC127" s="96"/>
      <c r="BD127" s="96"/>
      <c r="BE127" s="96"/>
      <c r="BI127" s="96"/>
      <c r="BJ127" s="96"/>
      <c r="BK127" s="96"/>
      <c r="BL127" s="96"/>
      <c r="BM127" s="96"/>
      <c r="BO127" s="96"/>
      <c r="BQ127" s="96"/>
      <c r="BR127" s="96"/>
      <c r="BS127" s="96"/>
      <c r="BT127" s="96"/>
      <c r="BU127" s="96"/>
      <c r="BV127" s="99"/>
      <c r="BW127" s="99"/>
      <c r="BX127" s="96"/>
      <c r="BY127" s="96"/>
      <c r="BZ127" s="99"/>
      <c r="CA127" s="96"/>
      <c r="CB127" s="96"/>
      <c r="CC127" s="96"/>
      <c r="CD127" s="96"/>
      <c r="CE127" s="96"/>
      <c r="CI127" s="100"/>
      <c r="CJ127" s="100"/>
      <c r="CK127" s="100"/>
      <c r="CL127" s="100"/>
      <c r="CM127" s="100"/>
      <c r="CN127" s="100"/>
      <c r="CO127" s="100"/>
      <c r="CP127" s="100"/>
    </row>
    <row r="128" spans="1:94" ht="13">
      <c r="A128" s="96"/>
      <c r="B128" s="96"/>
      <c r="C128" s="96"/>
      <c r="D128" s="96"/>
      <c r="E128" s="96"/>
      <c r="F128" s="96"/>
      <c r="G128" s="96"/>
      <c r="H128" s="97"/>
      <c r="I128" s="96"/>
      <c r="J128" s="96"/>
      <c r="K128" s="96"/>
      <c r="L128" s="96"/>
      <c r="M128" s="96"/>
      <c r="N128" s="96"/>
      <c r="O128" s="96"/>
      <c r="P128" s="96"/>
      <c r="Q128" s="98"/>
      <c r="S128" s="96"/>
      <c r="X128" s="96"/>
      <c r="AI128" s="96"/>
      <c r="AJ128" s="96"/>
      <c r="AK128" s="96"/>
      <c r="AL128" s="96"/>
      <c r="AS128" s="96"/>
      <c r="AT128" s="96"/>
      <c r="AU128" s="96"/>
      <c r="BA128" s="96"/>
      <c r="BB128" s="96"/>
      <c r="BC128" s="96"/>
      <c r="BD128" s="96"/>
      <c r="BE128" s="96"/>
      <c r="BI128" s="96"/>
      <c r="BJ128" s="96"/>
      <c r="BK128" s="96"/>
      <c r="BL128" s="96"/>
      <c r="BM128" s="96"/>
      <c r="BO128" s="96"/>
      <c r="BQ128" s="96"/>
      <c r="BR128" s="96"/>
      <c r="BS128" s="96"/>
      <c r="BT128" s="96"/>
      <c r="BU128" s="96"/>
      <c r="BV128" s="99"/>
      <c r="BW128" s="99"/>
      <c r="BX128" s="96"/>
      <c r="BY128" s="96"/>
      <c r="BZ128" s="99"/>
      <c r="CA128" s="96"/>
      <c r="CB128" s="96"/>
      <c r="CC128" s="96"/>
      <c r="CD128" s="96"/>
      <c r="CE128" s="96"/>
      <c r="CI128" s="100"/>
      <c r="CJ128" s="100"/>
      <c r="CK128" s="100"/>
      <c r="CL128" s="100"/>
      <c r="CM128" s="100"/>
      <c r="CN128" s="100"/>
      <c r="CO128" s="100"/>
      <c r="CP128" s="100"/>
    </row>
    <row r="129" spans="1:94" ht="13">
      <c r="A129" s="96"/>
      <c r="B129" s="96"/>
      <c r="C129" s="96"/>
      <c r="D129" s="96"/>
      <c r="E129" s="96"/>
      <c r="F129" s="96"/>
      <c r="G129" s="96"/>
      <c r="H129" s="97"/>
      <c r="I129" s="96"/>
      <c r="J129" s="96"/>
      <c r="K129" s="96"/>
      <c r="L129" s="96"/>
      <c r="M129" s="96"/>
      <c r="N129" s="96"/>
      <c r="O129" s="96"/>
      <c r="P129" s="96"/>
      <c r="Q129" s="98"/>
      <c r="S129" s="96"/>
      <c r="X129" s="96"/>
      <c r="AI129" s="96"/>
      <c r="AJ129" s="96"/>
      <c r="AK129" s="96"/>
      <c r="AL129" s="96"/>
      <c r="AS129" s="96"/>
      <c r="AT129" s="96"/>
      <c r="AU129" s="96"/>
      <c r="BA129" s="96"/>
      <c r="BB129" s="96"/>
      <c r="BC129" s="96"/>
      <c r="BD129" s="96"/>
      <c r="BE129" s="96"/>
      <c r="BI129" s="96"/>
      <c r="BJ129" s="96"/>
      <c r="BK129" s="96"/>
      <c r="BL129" s="96"/>
      <c r="BM129" s="96"/>
      <c r="BO129" s="96"/>
      <c r="BQ129" s="96"/>
      <c r="BR129" s="96"/>
      <c r="BS129" s="96"/>
      <c r="BT129" s="96"/>
      <c r="BU129" s="96"/>
      <c r="BV129" s="99"/>
      <c r="BW129" s="99"/>
      <c r="BX129" s="96"/>
      <c r="BY129" s="96"/>
      <c r="BZ129" s="99"/>
      <c r="CA129" s="96"/>
      <c r="CB129" s="96"/>
      <c r="CC129" s="96"/>
      <c r="CD129" s="96"/>
      <c r="CE129" s="96"/>
      <c r="CI129" s="100"/>
      <c r="CJ129" s="100"/>
      <c r="CK129" s="100"/>
      <c r="CL129" s="100"/>
      <c r="CM129" s="100"/>
      <c r="CN129" s="100"/>
      <c r="CO129" s="100"/>
      <c r="CP129" s="100"/>
    </row>
    <row r="130" spans="1:94" ht="13">
      <c r="A130" s="96"/>
      <c r="B130" s="96"/>
      <c r="C130" s="96"/>
      <c r="D130" s="96"/>
      <c r="E130" s="96"/>
      <c r="F130" s="96"/>
      <c r="G130" s="96"/>
      <c r="H130" s="97"/>
      <c r="I130" s="96"/>
      <c r="J130" s="96"/>
      <c r="K130" s="96"/>
      <c r="L130" s="96"/>
      <c r="M130" s="96"/>
      <c r="N130" s="96"/>
      <c r="O130" s="96"/>
      <c r="P130" s="96"/>
      <c r="Q130" s="98"/>
      <c r="S130" s="96"/>
      <c r="X130" s="96"/>
      <c r="AI130" s="96"/>
      <c r="AJ130" s="96"/>
      <c r="AK130" s="96"/>
      <c r="AL130" s="96"/>
      <c r="AS130" s="96"/>
      <c r="AT130" s="96"/>
      <c r="AU130" s="96"/>
      <c r="BA130" s="96"/>
      <c r="BB130" s="96"/>
      <c r="BC130" s="96"/>
      <c r="BD130" s="96"/>
      <c r="BE130" s="96"/>
      <c r="BI130" s="96"/>
      <c r="BJ130" s="96"/>
      <c r="BK130" s="96"/>
      <c r="BL130" s="96"/>
      <c r="BM130" s="96"/>
      <c r="BO130" s="96"/>
      <c r="BQ130" s="96"/>
      <c r="BR130" s="96"/>
      <c r="BS130" s="96"/>
      <c r="BT130" s="96"/>
      <c r="BU130" s="96"/>
      <c r="BV130" s="99"/>
      <c r="BW130" s="99"/>
      <c r="BX130" s="96"/>
      <c r="BY130" s="96"/>
      <c r="BZ130" s="99"/>
      <c r="CA130" s="96"/>
      <c r="CB130" s="96"/>
      <c r="CC130" s="96"/>
      <c r="CD130" s="96"/>
      <c r="CE130" s="96"/>
      <c r="CI130" s="100"/>
      <c r="CJ130" s="100"/>
      <c r="CK130" s="100"/>
      <c r="CL130" s="100"/>
      <c r="CM130" s="100"/>
      <c r="CN130" s="100"/>
      <c r="CO130" s="100"/>
      <c r="CP130" s="100"/>
    </row>
    <row r="131" spans="1:94" ht="13">
      <c r="A131" s="96"/>
      <c r="B131" s="96"/>
      <c r="C131" s="96"/>
      <c r="D131" s="96"/>
      <c r="E131" s="96"/>
      <c r="F131" s="96"/>
      <c r="G131" s="96"/>
      <c r="H131" s="97"/>
      <c r="I131" s="96"/>
      <c r="J131" s="96"/>
      <c r="K131" s="96"/>
      <c r="L131" s="96"/>
      <c r="M131" s="96"/>
      <c r="N131" s="96"/>
      <c r="O131" s="96"/>
      <c r="P131" s="96"/>
      <c r="Q131" s="98"/>
      <c r="S131" s="96"/>
      <c r="X131" s="96"/>
      <c r="AI131" s="96"/>
      <c r="AJ131" s="96"/>
      <c r="AK131" s="96"/>
      <c r="AL131" s="96"/>
      <c r="AS131" s="96"/>
      <c r="AT131" s="96"/>
      <c r="AU131" s="96"/>
      <c r="BA131" s="96"/>
      <c r="BB131" s="96"/>
      <c r="BC131" s="96"/>
      <c r="BD131" s="96"/>
      <c r="BE131" s="96"/>
      <c r="BI131" s="96"/>
      <c r="BJ131" s="96"/>
      <c r="BK131" s="96"/>
      <c r="BL131" s="96"/>
      <c r="BM131" s="96"/>
      <c r="BO131" s="96"/>
      <c r="BQ131" s="96"/>
      <c r="BR131" s="96"/>
      <c r="BS131" s="96"/>
      <c r="BT131" s="96"/>
      <c r="BU131" s="96"/>
      <c r="BV131" s="99"/>
      <c r="BW131" s="99"/>
      <c r="BX131" s="96"/>
      <c r="BY131" s="96"/>
      <c r="BZ131" s="99"/>
      <c r="CA131" s="96"/>
      <c r="CB131" s="96"/>
      <c r="CC131" s="96"/>
      <c r="CD131" s="96"/>
      <c r="CE131" s="96"/>
      <c r="CI131" s="100"/>
      <c r="CJ131" s="100"/>
      <c r="CK131" s="100"/>
      <c r="CL131" s="100"/>
      <c r="CM131" s="100"/>
      <c r="CN131" s="100"/>
      <c r="CO131" s="100"/>
      <c r="CP131" s="100"/>
    </row>
    <row r="132" spans="1:94" ht="13">
      <c r="A132" s="96"/>
      <c r="B132" s="96"/>
      <c r="C132" s="96"/>
      <c r="D132" s="96"/>
      <c r="E132" s="96"/>
      <c r="F132" s="96"/>
      <c r="G132" s="96"/>
      <c r="H132" s="97"/>
      <c r="I132" s="96"/>
      <c r="J132" s="96"/>
      <c r="K132" s="96"/>
      <c r="L132" s="96"/>
      <c r="M132" s="96"/>
      <c r="N132" s="96"/>
      <c r="O132" s="96"/>
      <c r="P132" s="96"/>
      <c r="Q132" s="98"/>
      <c r="S132" s="96"/>
      <c r="X132" s="96"/>
      <c r="AI132" s="96"/>
      <c r="AJ132" s="96"/>
      <c r="AK132" s="96"/>
      <c r="AL132" s="96"/>
      <c r="AS132" s="96"/>
      <c r="AT132" s="96"/>
      <c r="AU132" s="96"/>
      <c r="BA132" s="96"/>
      <c r="BB132" s="96"/>
      <c r="BC132" s="96"/>
      <c r="BD132" s="96"/>
      <c r="BE132" s="96"/>
      <c r="BI132" s="96"/>
      <c r="BJ132" s="96"/>
      <c r="BK132" s="96"/>
      <c r="BL132" s="96"/>
      <c r="BM132" s="96"/>
      <c r="BO132" s="96"/>
      <c r="BQ132" s="96"/>
      <c r="BR132" s="96"/>
      <c r="BS132" s="96"/>
      <c r="BT132" s="96"/>
      <c r="BU132" s="96"/>
      <c r="BV132" s="99"/>
      <c r="BW132" s="99"/>
      <c r="BX132" s="96"/>
      <c r="BY132" s="96"/>
      <c r="BZ132" s="99"/>
      <c r="CA132" s="96"/>
      <c r="CB132" s="96"/>
      <c r="CC132" s="96"/>
      <c r="CD132" s="96"/>
      <c r="CE132" s="96"/>
      <c r="CI132" s="100"/>
      <c r="CJ132" s="100"/>
      <c r="CK132" s="100"/>
      <c r="CL132" s="100"/>
      <c r="CM132" s="100"/>
      <c r="CN132" s="100"/>
      <c r="CO132" s="100"/>
      <c r="CP132" s="100"/>
    </row>
    <row r="133" spans="1:94" ht="13">
      <c r="A133" s="96"/>
      <c r="B133" s="96"/>
      <c r="C133" s="96"/>
      <c r="D133" s="96"/>
      <c r="E133" s="96"/>
      <c r="F133" s="96"/>
      <c r="G133" s="96"/>
      <c r="H133" s="97"/>
      <c r="I133" s="96"/>
      <c r="J133" s="96"/>
      <c r="K133" s="96"/>
      <c r="L133" s="96"/>
      <c r="M133" s="96"/>
      <c r="N133" s="96"/>
      <c r="O133" s="96"/>
      <c r="P133" s="96"/>
      <c r="Q133" s="98"/>
      <c r="S133" s="96"/>
      <c r="X133" s="96"/>
      <c r="AI133" s="96"/>
      <c r="AJ133" s="96"/>
      <c r="AK133" s="96"/>
      <c r="AL133" s="96"/>
      <c r="AS133" s="96"/>
      <c r="AT133" s="96"/>
      <c r="AU133" s="96"/>
      <c r="BA133" s="96"/>
      <c r="BB133" s="96"/>
      <c r="BC133" s="96"/>
      <c r="BD133" s="96"/>
      <c r="BE133" s="96"/>
      <c r="BI133" s="96"/>
      <c r="BJ133" s="96"/>
      <c r="BK133" s="96"/>
      <c r="BL133" s="96"/>
      <c r="BM133" s="96"/>
      <c r="BO133" s="96"/>
      <c r="BQ133" s="96"/>
      <c r="BR133" s="96"/>
      <c r="BS133" s="96"/>
      <c r="BT133" s="96"/>
      <c r="BU133" s="96"/>
      <c r="BV133" s="99"/>
      <c r="BW133" s="99"/>
      <c r="BX133" s="96"/>
      <c r="BY133" s="96"/>
      <c r="BZ133" s="99"/>
      <c r="CA133" s="96"/>
      <c r="CB133" s="96"/>
      <c r="CC133" s="96"/>
      <c r="CD133" s="96"/>
      <c r="CE133" s="96"/>
      <c r="CI133" s="100"/>
      <c r="CJ133" s="100"/>
      <c r="CK133" s="100"/>
      <c r="CL133" s="100"/>
      <c r="CM133" s="100"/>
      <c r="CN133" s="100"/>
      <c r="CO133" s="100"/>
      <c r="CP133" s="100"/>
    </row>
    <row r="134" spans="1:94" ht="13">
      <c r="A134" s="96"/>
      <c r="B134" s="96"/>
      <c r="C134" s="96"/>
      <c r="D134" s="96"/>
      <c r="E134" s="96"/>
      <c r="F134" s="96"/>
      <c r="G134" s="96"/>
      <c r="H134" s="97"/>
      <c r="I134" s="96"/>
      <c r="J134" s="96"/>
      <c r="K134" s="96"/>
      <c r="L134" s="96"/>
      <c r="M134" s="96"/>
      <c r="N134" s="96"/>
      <c r="O134" s="96"/>
      <c r="P134" s="96"/>
      <c r="Q134" s="98"/>
      <c r="S134" s="96"/>
      <c r="X134" s="96"/>
      <c r="AI134" s="96"/>
      <c r="AJ134" s="96"/>
      <c r="AK134" s="96"/>
      <c r="AL134" s="96"/>
      <c r="AS134" s="96"/>
      <c r="AT134" s="96"/>
      <c r="AU134" s="96"/>
      <c r="BA134" s="96"/>
      <c r="BB134" s="96"/>
      <c r="BC134" s="96"/>
      <c r="BD134" s="96"/>
      <c r="BE134" s="96"/>
      <c r="BI134" s="96"/>
      <c r="BJ134" s="96"/>
      <c r="BK134" s="96"/>
      <c r="BL134" s="96"/>
      <c r="BM134" s="96"/>
      <c r="BO134" s="96"/>
      <c r="BQ134" s="96"/>
      <c r="BR134" s="96"/>
      <c r="BS134" s="96"/>
      <c r="BT134" s="96"/>
      <c r="BU134" s="96"/>
      <c r="BV134" s="99"/>
      <c r="BW134" s="99"/>
      <c r="BX134" s="96"/>
      <c r="BY134" s="96"/>
      <c r="BZ134" s="99"/>
      <c r="CA134" s="96"/>
      <c r="CB134" s="96"/>
      <c r="CC134" s="96"/>
      <c r="CD134" s="96"/>
      <c r="CE134" s="96"/>
      <c r="CI134" s="100"/>
      <c r="CJ134" s="100"/>
      <c r="CK134" s="100"/>
      <c r="CL134" s="100"/>
      <c r="CM134" s="100"/>
      <c r="CN134" s="100"/>
      <c r="CO134" s="100"/>
      <c r="CP134" s="100"/>
    </row>
    <row r="135" spans="1:94" ht="13">
      <c r="A135" s="96"/>
      <c r="B135" s="96"/>
      <c r="C135" s="96"/>
      <c r="D135" s="96"/>
      <c r="E135" s="96"/>
      <c r="F135" s="96"/>
      <c r="G135" s="96"/>
      <c r="H135" s="97"/>
      <c r="I135" s="96"/>
      <c r="J135" s="96"/>
      <c r="K135" s="96"/>
      <c r="L135" s="96"/>
      <c r="M135" s="96"/>
      <c r="N135" s="96"/>
      <c r="O135" s="96"/>
      <c r="P135" s="96"/>
      <c r="Q135" s="98"/>
      <c r="S135" s="96"/>
      <c r="X135" s="96"/>
      <c r="AI135" s="96"/>
      <c r="AJ135" s="96"/>
      <c r="AK135" s="96"/>
      <c r="AL135" s="96"/>
      <c r="AS135" s="96"/>
      <c r="AT135" s="96"/>
      <c r="AU135" s="96"/>
      <c r="BA135" s="96"/>
      <c r="BB135" s="96"/>
      <c r="BC135" s="96"/>
      <c r="BD135" s="96"/>
      <c r="BE135" s="96"/>
      <c r="BI135" s="96"/>
      <c r="BJ135" s="96"/>
      <c r="BK135" s="96"/>
      <c r="BL135" s="96"/>
      <c r="BM135" s="96"/>
      <c r="BO135" s="96"/>
      <c r="BQ135" s="96"/>
      <c r="BR135" s="96"/>
      <c r="BS135" s="96"/>
      <c r="BT135" s="96"/>
      <c r="BU135" s="96"/>
      <c r="BV135" s="99"/>
      <c r="BW135" s="99"/>
      <c r="BX135" s="96"/>
      <c r="BY135" s="96"/>
      <c r="BZ135" s="99"/>
      <c r="CA135" s="96"/>
      <c r="CB135" s="96"/>
      <c r="CC135" s="96"/>
      <c r="CD135" s="96"/>
      <c r="CE135" s="96"/>
      <c r="CI135" s="100"/>
      <c r="CJ135" s="100"/>
      <c r="CK135" s="100"/>
      <c r="CL135" s="100"/>
      <c r="CM135" s="100"/>
      <c r="CN135" s="100"/>
      <c r="CO135" s="100"/>
      <c r="CP135" s="100"/>
    </row>
    <row r="136" spans="1:94" ht="13">
      <c r="A136" s="96"/>
      <c r="B136" s="96"/>
      <c r="C136" s="96"/>
      <c r="D136" s="96"/>
      <c r="E136" s="96"/>
      <c r="F136" s="96"/>
      <c r="G136" s="96"/>
      <c r="H136" s="97"/>
      <c r="I136" s="96"/>
      <c r="J136" s="96"/>
      <c r="K136" s="96"/>
      <c r="L136" s="96"/>
      <c r="M136" s="96"/>
      <c r="N136" s="96"/>
      <c r="O136" s="96"/>
      <c r="P136" s="96"/>
      <c r="Q136" s="98"/>
      <c r="S136" s="96"/>
      <c r="X136" s="96"/>
      <c r="AI136" s="96"/>
      <c r="AJ136" s="96"/>
      <c r="AK136" s="96"/>
      <c r="AL136" s="96"/>
      <c r="AS136" s="96"/>
      <c r="AT136" s="96"/>
      <c r="AU136" s="96"/>
      <c r="BA136" s="96"/>
      <c r="BB136" s="96"/>
      <c r="BC136" s="96"/>
      <c r="BD136" s="96"/>
      <c r="BE136" s="96"/>
      <c r="BI136" s="96"/>
      <c r="BJ136" s="96"/>
      <c r="BK136" s="96"/>
      <c r="BL136" s="96"/>
      <c r="BM136" s="96"/>
      <c r="BO136" s="96"/>
      <c r="BQ136" s="96"/>
      <c r="BR136" s="96"/>
      <c r="BS136" s="96"/>
      <c r="BT136" s="96"/>
      <c r="BU136" s="96"/>
      <c r="BV136" s="99"/>
      <c r="BW136" s="99"/>
      <c r="BX136" s="96"/>
      <c r="BY136" s="96"/>
      <c r="BZ136" s="99"/>
      <c r="CA136" s="96"/>
      <c r="CB136" s="96"/>
      <c r="CC136" s="96"/>
      <c r="CD136" s="96"/>
      <c r="CE136" s="96"/>
      <c r="CI136" s="100"/>
      <c r="CJ136" s="100"/>
      <c r="CK136" s="100"/>
      <c r="CL136" s="100"/>
      <c r="CM136" s="100"/>
      <c r="CN136" s="100"/>
      <c r="CO136" s="100"/>
      <c r="CP136" s="100"/>
    </row>
    <row r="137" spans="1:94" ht="13">
      <c r="A137" s="96"/>
      <c r="B137" s="96"/>
      <c r="C137" s="96"/>
      <c r="D137" s="96"/>
      <c r="E137" s="96"/>
      <c r="F137" s="96"/>
      <c r="G137" s="96"/>
      <c r="H137" s="97"/>
      <c r="I137" s="96"/>
      <c r="J137" s="96"/>
      <c r="K137" s="96"/>
      <c r="L137" s="96"/>
      <c r="M137" s="96"/>
      <c r="N137" s="96"/>
      <c r="O137" s="96"/>
      <c r="P137" s="96"/>
      <c r="Q137" s="98"/>
      <c r="S137" s="96"/>
      <c r="X137" s="96"/>
      <c r="AI137" s="96"/>
      <c r="AJ137" s="96"/>
      <c r="AK137" s="96"/>
      <c r="AL137" s="96"/>
      <c r="AS137" s="96"/>
      <c r="AT137" s="96"/>
      <c r="AU137" s="96"/>
      <c r="BA137" s="96"/>
      <c r="BB137" s="96"/>
      <c r="BC137" s="96"/>
      <c r="BD137" s="96"/>
      <c r="BE137" s="96"/>
      <c r="BI137" s="96"/>
      <c r="BJ137" s="96"/>
      <c r="BK137" s="96"/>
      <c r="BL137" s="96"/>
      <c r="BM137" s="96"/>
      <c r="BO137" s="96"/>
      <c r="BQ137" s="96"/>
      <c r="BR137" s="96"/>
      <c r="BS137" s="96"/>
      <c r="BT137" s="96"/>
      <c r="BU137" s="96"/>
      <c r="BV137" s="99"/>
      <c r="BW137" s="99"/>
      <c r="BX137" s="96"/>
      <c r="BY137" s="96"/>
      <c r="BZ137" s="99"/>
      <c r="CA137" s="96"/>
      <c r="CB137" s="96"/>
      <c r="CC137" s="96"/>
      <c r="CD137" s="96"/>
      <c r="CE137" s="96"/>
      <c r="CI137" s="100"/>
      <c r="CJ137" s="100"/>
      <c r="CK137" s="100"/>
      <c r="CL137" s="100"/>
      <c r="CM137" s="100"/>
      <c r="CN137" s="100"/>
      <c r="CO137" s="100"/>
      <c r="CP137" s="100"/>
    </row>
    <row r="138" spans="1:94" ht="13">
      <c r="A138" s="96"/>
      <c r="B138" s="96"/>
      <c r="C138" s="96"/>
      <c r="D138" s="96"/>
      <c r="E138" s="96"/>
      <c r="F138" s="96"/>
      <c r="G138" s="96"/>
      <c r="H138" s="97"/>
      <c r="I138" s="96"/>
      <c r="J138" s="96"/>
      <c r="K138" s="96"/>
      <c r="L138" s="96"/>
      <c r="M138" s="96"/>
      <c r="N138" s="96"/>
      <c r="O138" s="96"/>
      <c r="P138" s="96"/>
      <c r="Q138" s="98"/>
      <c r="S138" s="96"/>
      <c r="X138" s="96"/>
      <c r="AI138" s="96"/>
      <c r="AJ138" s="96"/>
      <c r="AK138" s="96"/>
      <c r="AL138" s="96"/>
      <c r="AS138" s="96"/>
      <c r="AT138" s="96"/>
      <c r="AU138" s="96"/>
      <c r="BA138" s="96"/>
      <c r="BB138" s="96"/>
      <c r="BC138" s="96"/>
      <c r="BD138" s="96"/>
      <c r="BE138" s="96"/>
      <c r="BI138" s="96"/>
      <c r="BJ138" s="96"/>
      <c r="BK138" s="96"/>
      <c r="BL138" s="96"/>
      <c r="BM138" s="96"/>
      <c r="BO138" s="96"/>
      <c r="BQ138" s="96"/>
      <c r="BR138" s="96"/>
      <c r="BS138" s="96"/>
      <c r="BT138" s="96"/>
      <c r="BU138" s="96"/>
      <c r="BV138" s="99"/>
      <c r="BW138" s="99"/>
      <c r="BX138" s="96"/>
      <c r="BY138" s="96"/>
      <c r="BZ138" s="99"/>
      <c r="CA138" s="96"/>
      <c r="CB138" s="96"/>
      <c r="CC138" s="96"/>
      <c r="CD138" s="96"/>
      <c r="CE138" s="96"/>
      <c r="CI138" s="100"/>
      <c r="CJ138" s="100"/>
      <c r="CK138" s="100"/>
      <c r="CL138" s="100"/>
      <c r="CM138" s="100"/>
      <c r="CN138" s="100"/>
      <c r="CO138" s="100"/>
      <c r="CP138" s="100"/>
    </row>
    <row r="139" spans="1:94" ht="13">
      <c r="A139" s="96"/>
      <c r="B139" s="96"/>
      <c r="C139" s="96"/>
      <c r="D139" s="96"/>
      <c r="E139" s="96"/>
      <c r="F139" s="96"/>
      <c r="G139" s="96"/>
      <c r="H139" s="97"/>
      <c r="I139" s="96"/>
      <c r="J139" s="96"/>
      <c r="K139" s="96"/>
      <c r="L139" s="96"/>
      <c r="M139" s="96"/>
      <c r="N139" s="96"/>
      <c r="O139" s="96"/>
      <c r="P139" s="96"/>
      <c r="Q139" s="98"/>
      <c r="S139" s="96"/>
      <c r="X139" s="96"/>
      <c r="AI139" s="96"/>
      <c r="AJ139" s="96"/>
      <c r="AK139" s="96"/>
      <c r="AL139" s="96"/>
      <c r="AS139" s="96"/>
      <c r="AT139" s="96"/>
      <c r="AU139" s="96"/>
      <c r="BA139" s="96"/>
      <c r="BB139" s="96"/>
      <c r="BC139" s="96"/>
      <c r="BD139" s="96"/>
      <c r="BE139" s="96"/>
      <c r="BI139" s="96"/>
      <c r="BJ139" s="96"/>
      <c r="BK139" s="96"/>
      <c r="BL139" s="96"/>
      <c r="BM139" s="96"/>
      <c r="BO139" s="96"/>
      <c r="BQ139" s="96"/>
      <c r="BR139" s="96"/>
      <c r="BS139" s="96"/>
      <c r="BT139" s="96"/>
      <c r="BU139" s="96"/>
      <c r="BV139" s="99"/>
      <c r="BW139" s="99"/>
      <c r="BX139" s="96"/>
      <c r="BY139" s="96"/>
      <c r="BZ139" s="99"/>
      <c r="CA139" s="96"/>
      <c r="CB139" s="96"/>
      <c r="CC139" s="96"/>
      <c r="CD139" s="96"/>
      <c r="CE139" s="96"/>
      <c r="CI139" s="100"/>
      <c r="CJ139" s="100"/>
      <c r="CK139" s="100"/>
      <c r="CL139" s="100"/>
      <c r="CM139" s="100"/>
      <c r="CN139" s="100"/>
      <c r="CO139" s="100"/>
      <c r="CP139" s="100"/>
    </row>
    <row r="140" spans="1:94" ht="13">
      <c r="A140" s="96"/>
      <c r="B140" s="96"/>
      <c r="C140" s="96"/>
      <c r="D140" s="96"/>
      <c r="E140" s="96"/>
      <c r="F140" s="96"/>
      <c r="G140" s="96"/>
      <c r="H140" s="97"/>
      <c r="I140" s="96"/>
      <c r="J140" s="96"/>
      <c r="K140" s="96"/>
      <c r="L140" s="96"/>
      <c r="M140" s="96"/>
      <c r="N140" s="96"/>
      <c r="O140" s="96"/>
      <c r="P140" s="96"/>
      <c r="Q140" s="98"/>
      <c r="S140" s="96"/>
      <c r="X140" s="96"/>
      <c r="AI140" s="96"/>
      <c r="AJ140" s="96"/>
      <c r="AK140" s="96"/>
      <c r="AL140" s="96"/>
      <c r="AS140" s="96"/>
      <c r="AT140" s="96"/>
      <c r="AU140" s="96"/>
      <c r="BA140" s="96"/>
      <c r="BB140" s="96"/>
      <c r="BC140" s="96"/>
      <c r="BD140" s="96"/>
      <c r="BE140" s="96"/>
      <c r="BI140" s="96"/>
      <c r="BJ140" s="96"/>
      <c r="BK140" s="96"/>
      <c r="BL140" s="96"/>
      <c r="BM140" s="96"/>
      <c r="BO140" s="96"/>
      <c r="BQ140" s="96"/>
      <c r="BR140" s="96"/>
      <c r="BS140" s="96"/>
      <c r="BT140" s="96"/>
      <c r="BU140" s="96"/>
      <c r="BV140" s="99"/>
      <c r="BW140" s="99"/>
      <c r="BX140" s="96"/>
      <c r="BY140" s="96"/>
      <c r="BZ140" s="99"/>
      <c r="CA140" s="96"/>
      <c r="CB140" s="96"/>
      <c r="CC140" s="96"/>
      <c r="CD140" s="96"/>
      <c r="CE140" s="96"/>
      <c r="CI140" s="100"/>
      <c r="CJ140" s="100"/>
      <c r="CK140" s="100"/>
      <c r="CL140" s="100"/>
      <c r="CM140" s="100"/>
      <c r="CN140" s="100"/>
      <c r="CO140" s="100"/>
      <c r="CP140" s="100"/>
    </row>
    <row r="141" spans="1:94" ht="13">
      <c r="A141" s="96"/>
      <c r="B141" s="96"/>
      <c r="C141" s="96"/>
      <c r="D141" s="96"/>
      <c r="E141" s="96"/>
      <c r="F141" s="96"/>
      <c r="G141" s="96"/>
      <c r="H141" s="97"/>
      <c r="I141" s="96"/>
      <c r="J141" s="96"/>
      <c r="K141" s="96"/>
      <c r="L141" s="96"/>
      <c r="M141" s="96"/>
      <c r="N141" s="96"/>
      <c r="O141" s="96"/>
      <c r="P141" s="96"/>
      <c r="Q141" s="98"/>
      <c r="S141" s="96"/>
      <c r="X141" s="96"/>
      <c r="AI141" s="96"/>
      <c r="AJ141" s="96"/>
      <c r="AK141" s="96"/>
      <c r="AL141" s="96"/>
      <c r="AS141" s="96"/>
      <c r="AT141" s="96"/>
      <c r="AU141" s="96"/>
      <c r="BA141" s="96"/>
      <c r="BB141" s="96"/>
      <c r="BC141" s="96"/>
      <c r="BD141" s="96"/>
      <c r="BE141" s="96"/>
      <c r="BI141" s="96"/>
      <c r="BJ141" s="96"/>
      <c r="BK141" s="96"/>
      <c r="BL141" s="96"/>
      <c r="BM141" s="96"/>
      <c r="BO141" s="96"/>
      <c r="BQ141" s="96"/>
      <c r="BR141" s="96"/>
      <c r="BS141" s="96"/>
      <c r="BT141" s="96"/>
      <c r="BU141" s="96"/>
      <c r="BV141" s="99"/>
      <c r="BW141" s="99"/>
      <c r="BX141" s="96"/>
      <c r="BY141" s="96"/>
      <c r="BZ141" s="99"/>
      <c r="CA141" s="96"/>
      <c r="CB141" s="96"/>
      <c r="CC141" s="96"/>
      <c r="CD141" s="96"/>
      <c r="CE141" s="96"/>
      <c r="CI141" s="100"/>
      <c r="CJ141" s="100"/>
      <c r="CK141" s="100"/>
      <c r="CL141" s="100"/>
      <c r="CM141" s="100"/>
      <c r="CN141" s="100"/>
      <c r="CO141" s="100"/>
      <c r="CP141" s="100"/>
    </row>
    <row r="142" spans="1:94" ht="13">
      <c r="A142" s="96"/>
      <c r="B142" s="96"/>
      <c r="C142" s="96"/>
      <c r="D142" s="96"/>
      <c r="E142" s="96"/>
      <c r="F142" s="96"/>
      <c r="G142" s="96"/>
      <c r="H142" s="97"/>
      <c r="I142" s="96"/>
      <c r="J142" s="96"/>
      <c r="K142" s="96"/>
      <c r="L142" s="96"/>
      <c r="M142" s="96"/>
      <c r="N142" s="96"/>
      <c r="O142" s="96"/>
      <c r="P142" s="96"/>
      <c r="Q142" s="98"/>
      <c r="S142" s="96"/>
      <c r="X142" s="96"/>
      <c r="AI142" s="96"/>
      <c r="AJ142" s="96"/>
      <c r="AK142" s="96"/>
      <c r="AL142" s="96"/>
      <c r="AS142" s="96"/>
      <c r="AT142" s="96"/>
      <c r="AU142" s="96"/>
      <c r="BA142" s="96"/>
      <c r="BB142" s="96"/>
      <c r="BC142" s="96"/>
      <c r="BD142" s="96"/>
      <c r="BE142" s="96"/>
      <c r="BI142" s="96"/>
      <c r="BJ142" s="96"/>
      <c r="BK142" s="96"/>
      <c r="BL142" s="96"/>
      <c r="BM142" s="96"/>
      <c r="BO142" s="96"/>
      <c r="BQ142" s="96"/>
      <c r="BR142" s="96"/>
      <c r="BS142" s="96"/>
      <c r="BT142" s="96"/>
      <c r="BU142" s="96"/>
      <c r="BV142" s="99"/>
      <c r="BW142" s="99"/>
      <c r="BX142" s="96"/>
      <c r="BY142" s="96"/>
      <c r="BZ142" s="99"/>
      <c r="CA142" s="96"/>
      <c r="CB142" s="96"/>
      <c r="CC142" s="96"/>
      <c r="CD142" s="96"/>
      <c r="CE142" s="96"/>
      <c r="CI142" s="100"/>
      <c r="CJ142" s="100"/>
      <c r="CK142" s="100"/>
      <c r="CL142" s="100"/>
      <c r="CM142" s="100"/>
      <c r="CN142" s="100"/>
      <c r="CO142" s="100"/>
      <c r="CP142" s="100"/>
    </row>
    <row r="143" spans="1:94" ht="13">
      <c r="A143" s="96"/>
      <c r="B143" s="96"/>
      <c r="C143" s="96"/>
      <c r="D143" s="96"/>
      <c r="E143" s="96"/>
      <c r="F143" s="96"/>
      <c r="G143" s="96"/>
      <c r="H143" s="97"/>
      <c r="I143" s="96"/>
      <c r="J143" s="96"/>
      <c r="K143" s="96"/>
      <c r="L143" s="96"/>
      <c r="M143" s="96"/>
      <c r="N143" s="96"/>
      <c r="O143" s="96"/>
      <c r="P143" s="96"/>
      <c r="Q143" s="98"/>
      <c r="S143" s="96"/>
      <c r="X143" s="96"/>
      <c r="AI143" s="96"/>
      <c r="AJ143" s="96"/>
      <c r="AK143" s="96"/>
      <c r="AL143" s="96"/>
      <c r="AS143" s="96"/>
      <c r="AT143" s="96"/>
      <c r="AU143" s="96"/>
      <c r="BA143" s="96"/>
      <c r="BB143" s="96"/>
      <c r="BC143" s="96"/>
      <c r="BD143" s="96"/>
      <c r="BE143" s="96"/>
      <c r="BI143" s="96"/>
      <c r="BJ143" s="96"/>
      <c r="BK143" s="96"/>
      <c r="BL143" s="96"/>
      <c r="BM143" s="96"/>
      <c r="BO143" s="96"/>
      <c r="BQ143" s="96"/>
      <c r="BR143" s="96"/>
      <c r="BS143" s="96"/>
      <c r="BT143" s="96"/>
      <c r="BU143" s="96"/>
      <c r="BV143" s="99"/>
      <c r="BW143" s="99"/>
      <c r="BX143" s="96"/>
      <c r="BY143" s="96"/>
      <c r="BZ143" s="99"/>
      <c r="CA143" s="96"/>
      <c r="CB143" s="96"/>
      <c r="CC143" s="96"/>
      <c r="CD143" s="96"/>
      <c r="CE143" s="96"/>
      <c r="CI143" s="100"/>
      <c r="CJ143" s="100"/>
      <c r="CK143" s="100"/>
      <c r="CL143" s="100"/>
      <c r="CM143" s="100"/>
      <c r="CN143" s="100"/>
      <c r="CO143" s="100"/>
      <c r="CP143" s="100"/>
    </row>
    <row r="144" spans="1:94" ht="13">
      <c r="A144" s="96"/>
      <c r="B144" s="96"/>
      <c r="C144" s="96"/>
      <c r="D144" s="96"/>
      <c r="E144" s="96"/>
      <c r="F144" s="96"/>
      <c r="G144" s="96"/>
      <c r="H144" s="97"/>
      <c r="I144" s="96"/>
      <c r="J144" s="96"/>
      <c r="K144" s="96"/>
      <c r="L144" s="96"/>
      <c r="M144" s="96"/>
      <c r="N144" s="96"/>
      <c r="O144" s="96"/>
      <c r="P144" s="96"/>
      <c r="Q144" s="98"/>
      <c r="S144" s="96"/>
      <c r="X144" s="96"/>
      <c r="AI144" s="96"/>
      <c r="AJ144" s="96"/>
      <c r="AK144" s="96"/>
      <c r="AL144" s="96"/>
      <c r="AS144" s="96"/>
      <c r="AT144" s="96"/>
      <c r="AU144" s="96"/>
      <c r="BA144" s="96"/>
      <c r="BB144" s="96"/>
      <c r="BC144" s="96"/>
      <c r="BD144" s="96"/>
      <c r="BE144" s="96"/>
      <c r="BI144" s="96"/>
      <c r="BJ144" s="96"/>
      <c r="BK144" s="96"/>
      <c r="BL144" s="96"/>
      <c r="BM144" s="96"/>
      <c r="BO144" s="96"/>
      <c r="BQ144" s="96"/>
      <c r="BR144" s="96"/>
      <c r="BS144" s="96"/>
      <c r="BT144" s="96"/>
      <c r="BU144" s="96"/>
      <c r="BV144" s="99"/>
      <c r="BW144" s="99"/>
      <c r="BX144" s="96"/>
      <c r="BY144" s="96"/>
      <c r="BZ144" s="99"/>
      <c r="CA144" s="96"/>
      <c r="CB144" s="96"/>
      <c r="CC144" s="96"/>
      <c r="CD144" s="96"/>
      <c r="CE144" s="96"/>
      <c r="CI144" s="100"/>
      <c r="CJ144" s="100"/>
      <c r="CK144" s="100"/>
      <c r="CL144" s="100"/>
      <c r="CM144" s="100"/>
      <c r="CN144" s="100"/>
      <c r="CO144" s="100"/>
      <c r="CP144" s="100"/>
    </row>
    <row r="145" spans="1:94" ht="13">
      <c r="A145" s="96"/>
      <c r="B145" s="96"/>
      <c r="C145" s="96"/>
      <c r="D145" s="96"/>
      <c r="E145" s="96"/>
      <c r="F145" s="96"/>
      <c r="G145" s="96"/>
      <c r="H145" s="97"/>
      <c r="I145" s="96"/>
      <c r="J145" s="96"/>
      <c r="K145" s="96"/>
      <c r="L145" s="96"/>
      <c r="M145" s="96"/>
      <c r="N145" s="96"/>
      <c r="O145" s="96"/>
      <c r="P145" s="96"/>
      <c r="Q145" s="98"/>
      <c r="S145" s="96"/>
      <c r="X145" s="96"/>
      <c r="AI145" s="96"/>
      <c r="AJ145" s="96"/>
      <c r="AK145" s="96"/>
      <c r="AL145" s="96"/>
      <c r="AS145" s="96"/>
      <c r="AT145" s="96"/>
      <c r="AU145" s="96"/>
      <c r="BA145" s="96"/>
      <c r="BB145" s="96"/>
      <c r="BC145" s="96"/>
      <c r="BD145" s="96"/>
      <c r="BE145" s="96"/>
      <c r="BI145" s="96"/>
      <c r="BJ145" s="96"/>
      <c r="BK145" s="96"/>
      <c r="BL145" s="96"/>
      <c r="BM145" s="96"/>
      <c r="BO145" s="96"/>
      <c r="BQ145" s="96"/>
      <c r="BR145" s="96"/>
      <c r="BS145" s="96"/>
      <c r="BT145" s="96"/>
      <c r="BU145" s="96"/>
      <c r="BV145" s="99"/>
      <c r="BW145" s="99"/>
      <c r="BX145" s="96"/>
      <c r="BY145" s="96"/>
      <c r="BZ145" s="99"/>
      <c r="CA145" s="96"/>
      <c r="CB145" s="96"/>
      <c r="CC145" s="96"/>
      <c r="CD145" s="96"/>
      <c r="CE145" s="96"/>
      <c r="CI145" s="100"/>
      <c r="CJ145" s="100"/>
      <c r="CK145" s="100"/>
      <c r="CL145" s="100"/>
      <c r="CM145" s="100"/>
      <c r="CN145" s="100"/>
      <c r="CO145" s="100"/>
      <c r="CP145" s="100"/>
    </row>
    <row r="146" spans="1:94" ht="13">
      <c r="A146" s="96"/>
      <c r="B146" s="96"/>
      <c r="C146" s="96"/>
      <c r="D146" s="96"/>
      <c r="E146" s="96"/>
      <c r="F146" s="96"/>
      <c r="G146" s="96"/>
      <c r="H146" s="97"/>
      <c r="I146" s="96"/>
      <c r="J146" s="96"/>
      <c r="K146" s="96"/>
      <c r="L146" s="96"/>
      <c r="M146" s="96"/>
      <c r="N146" s="96"/>
      <c r="O146" s="96"/>
      <c r="P146" s="96"/>
      <c r="Q146" s="98"/>
      <c r="S146" s="96"/>
      <c r="X146" s="96"/>
      <c r="AI146" s="96"/>
      <c r="AJ146" s="96"/>
      <c r="AK146" s="96"/>
      <c r="AL146" s="96"/>
      <c r="AS146" s="96"/>
      <c r="AT146" s="96"/>
      <c r="AU146" s="96"/>
      <c r="BA146" s="96"/>
      <c r="BB146" s="96"/>
      <c r="BC146" s="96"/>
      <c r="BD146" s="96"/>
      <c r="BE146" s="96"/>
      <c r="BI146" s="96"/>
      <c r="BJ146" s="96"/>
      <c r="BK146" s="96"/>
      <c r="BL146" s="96"/>
      <c r="BM146" s="96"/>
      <c r="BO146" s="96"/>
      <c r="BQ146" s="96"/>
      <c r="BR146" s="96"/>
      <c r="BS146" s="96"/>
      <c r="BT146" s="96"/>
      <c r="BU146" s="96"/>
      <c r="BV146" s="99"/>
      <c r="BW146" s="99"/>
      <c r="BX146" s="96"/>
      <c r="BY146" s="96"/>
      <c r="BZ146" s="99"/>
      <c r="CA146" s="96"/>
      <c r="CB146" s="96"/>
      <c r="CC146" s="96"/>
      <c r="CD146" s="96"/>
      <c r="CE146" s="96"/>
      <c r="CI146" s="100"/>
      <c r="CJ146" s="100"/>
      <c r="CK146" s="100"/>
      <c r="CL146" s="100"/>
      <c r="CM146" s="100"/>
      <c r="CN146" s="100"/>
      <c r="CO146" s="100"/>
      <c r="CP146" s="100"/>
    </row>
    <row r="147" spans="1:94" ht="13">
      <c r="A147" s="96"/>
      <c r="B147" s="96"/>
      <c r="C147" s="96"/>
      <c r="D147" s="96"/>
      <c r="E147" s="96"/>
      <c r="F147" s="96"/>
      <c r="G147" s="96"/>
      <c r="H147" s="97"/>
      <c r="I147" s="96"/>
      <c r="J147" s="96"/>
      <c r="K147" s="96"/>
      <c r="L147" s="96"/>
      <c r="M147" s="96"/>
      <c r="N147" s="96"/>
      <c r="O147" s="96"/>
      <c r="P147" s="96"/>
      <c r="Q147" s="98"/>
      <c r="S147" s="96"/>
      <c r="X147" s="96"/>
      <c r="AI147" s="96"/>
      <c r="AJ147" s="96"/>
      <c r="AK147" s="96"/>
      <c r="AL147" s="96"/>
      <c r="AS147" s="96"/>
      <c r="AT147" s="96"/>
      <c r="AU147" s="96"/>
      <c r="BA147" s="96"/>
      <c r="BB147" s="96"/>
      <c r="BC147" s="96"/>
      <c r="BD147" s="96"/>
      <c r="BE147" s="96"/>
      <c r="BI147" s="96"/>
      <c r="BJ147" s="96"/>
      <c r="BK147" s="96"/>
      <c r="BL147" s="96"/>
      <c r="BM147" s="96"/>
      <c r="BO147" s="96"/>
      <c r="BQ147" s="96"/>
      <c r="BR147" s="96"/>
      <c r="BS147" s="96"/>
      <c r="BT147" s="96"/>
      <c r="BU147" s="96"/>
      <c r="BV147" s="99"/>
      <c r="BW147" s="99"/>
      <c r="BX147" s="96"/>
      <c r="BY147" s="96"/>
      <c r="BZ147" s="99"/>
      <c r="CA147" s="96"/>
      <c r="CB147" s="96"/>
      <c r="CC147" s="96"/>
      <c r="CD147" s="96"/>
      <c r="CE147" s="96"/>
      <c r="CI147" s="100"/>
      <c r="CJ147" s="100"/>
      <c r="CK147" s="100"/>
      <c r="CL147" s="100"/>
      <c r="CM147" s="100"/>
      <c r="CN147" s="100"/>
      <c r="CO147" s="100"/>
      <c r="CP147" s="100"/>
    </row>
    <row r="148" spans="1:94" ht="13">
      <c r="A148" s="96"/>
      <c r="B148" s="96"/>
      <c r="C148" s="96"/>
      <c r="D148" s="96"/>
      <c r="E148" s="96"/>
      <c r="F148" s="96"/>
      <c r="G148" s="96"/>
      <c r="H148" s="97"/>
      <c r="I148" s="96"/>
      <c r="J148" s="96"/>
      <c r="K148" s="96"/>
      <c r="L148" s="96"/>
      <c r="M148" s="96"/>
      <c r="N148" s="96"/>
      <c r="O148" s="96"/>
      <c r="P148" s="96"/>
      <c r="Q148" s="98"/>
      <c r="S148" s="96"/>
      <c r="X148" s="96"/>
      <c r="AI148" s="96"/>
      <c r="AJ148" s="96"/>
      <c r="AK148" s="96"/>
      <c r="AL148" s="96"/>
      <c r="AS148" s="96"/>
      <c r="AT148" s="96"/>
      <c r="AU148" s="96"/>
      <c r="BA148" s="96"/>
      <c r="BB148" s="96"/>
      <c r="BC148" s="96"/>
      <c r="BD148" s="96"/>
      <c r="BE148" s="96"/>
      <c r="BI148" s="96"/>
      <c r="BJ148" s="96"/>
      <c r="BK148" s="96"/>
      <c r="BL148" s="96"/>
      <c r="BM148" s="96"/>
      <c r="BO148" s="96"/>
      <c r="BQ148" s="96"/>
      <c r="BR148" s="96"/>
      <c r="BS148" s="96"/>
      <c r="BT148" s="96"/>
      <c r="BU148" s="96"/>
      <c r="BV148" s="99"/>
      <c r="BW148" s="99"/>
      <c r="BX148" s="96"/>
      <c r="BY148" s="96"/>
      <c r="BZ148" s="99"/>
      <c r="CA148" s="96"/>
      <c r="CB148" s="96"/>
      <c r="CC148" s="96"/>
      <c r="CD148" s="96"/>
      <c r="CE148" s="96"/>
      <c r="CI148" s="100"/>
      <c r="CJ148" s="100"/>
      <c r="CK148" s="100"/>
      <c r="CL148" s="100"/>
      <c r="CM148" s="100"/>
      <c r="CN148" s="100"/>
      <c r="CO148" s="100"/>
      <c r="CP148" s="100"/>
    </row>
    <row r="149" spans="1:94" ht="13">
      <c r="A149" s="96"/>
      <c r="B149" s="96"/>
      <c r="C149" s="96"/>
      <c r="D149" s="96"/>
      <c r="E149" s="96"/>
      <c r="F149" s="96"/>
      <c r="G149" s="96"/>
      <c r="H149" s="97"/>
      <c r="I149" s="96"/>
      <c r="J149" s="96"/>
      <c r="K149" s="96"/>
      <c r="L149" s="96"/>
      <c r="M149" s="96"/>
      <c r="N149" s="96"/>
      <c r="O149" s="96"/>
      <c r="P149" s="96"/>
      <c r="Q149" s="98"/>
      <c r="S149" s="96"/>
      <c r="X149" s="96"/>
      <c r="AI149" s="96"/>
      <c r="AJ149" s="96"/>
      <c r="AK149" s="96"/>
      <c r="AL149" s="96"/>
      <c r="AS149" s="96"/>
      <c r="AT149" s="96"/>
      <c r="AU149" s="96"/>
      <c r="BA149" s="96"/>
      <c r="BB149" s="96"/>
      <c r="BC149" s="96"/>
      <c r="BD149" s="96"/>
      <c r="BE149" s="96"/>
      <c r="BI149" s="96"/>
      <c r="BJ149" s="96"/>
      <c r="BK149" s="96"/>
      <c r="BL149" s="96"/>
      <c r="BM149" s="96"/>
      <c r="BO149" s="96"/>
      <c r="BQ149" s="96"/>
      <c r="BR149" s="96"/>
      <c r="BS149" s="96"/>
      <c r="BT149" s="96"/>
      <c r="BU149" s="96"/>
      <c r="BV149" s="99"/>
      <c r="BW149" s="99"/>
      <c r="BX149" s="96"/>
      <c r="BY149" s="96"/>
      <c r="BZ149" s="99"/>
      <c r="CA149" s="96"/>
      <c r="CB149" s="96"/>
      <c r="CC149" s="96"/>
      <c r="CD149" s="96"/>
      <c r="CE149" s="96"/>
      <c r="CI149" s="100"/>
      <c r="CJ149" s="100"/>
      <c r="CK149" s="100"/>
      <c r="CL149" s="100"/>
      <c r="CM149" s="100"/>
      <c r="CN149" s="100"/>
      <c r="CO149" s="100"/>
      <c r="CP149" s="100"/>
    </row>
    <row r="150" spans="1:94" ht="13">
      <c r="A150" s="96"/>
      <c r="B150" s="96"/>
      <c r="C150" s="96"/>
      <c r="D150" s="96"/>
      <c r="E150" s="96"/>
      <c r="F150" s="96"/>
      <c r="G150" s="96"/>
      <c r="H150" s="97"/>
      <c r="I150" s="96"/>
      <c r="J150" s="96"/>
      <c r="K150" s="96"/>
      <c r="L150" s="96"/>
      <c r="M150" s="96"/>
      <c r="N150" s="96"/>
      <c r="O150" s="96"/>
      <c r="P150" s="96"/>
      <c r="Q150" s="98"/>
      <c r="S150" s="96"/>
      <c r="X150" s="96"/>
      <c r="AI150" s="96"/>
      <c r="AJ150" s="96"/>
      <c r="AK150" s="96"/>
      <c r="AL150" s="96"/>
      <c r="AS150" s="96"/>
      <c r="AT150" s="96"/>
      <c r="AU150" s="96"/>
      <c r="BA150" s="96"/>
      <c r="BB150" s="96"/>
      <c r="BC150" s="96"/>
      <c r="BD150" s="96"/>
      <c r="BE150" s="96"/>
      <c r="BI150" s="96"/>
      <c r="BJ150" s="96"/>
      <c r="BK150" s="96"/>
      <c r="BL150" s="96"/>
      <c r="BM150" s="96"/>
      <c r="BO150" s="96"/>
      <c r="BQ150" s="96"/>
      <c r="BR150" s="96"/>
      <c r="BS150" s="96"/>
      <c r="BT150" s="96"/>
      <c r="BU150" s="96"/>
      <c r="BV150" s="99"/>
      <c r="BW150" s="99"/>
      <c r="BX150" s="96"/>
      <c r="BY150" s="96"/>
      <c r="BZ150" s="99"/>
      <c r="CA150" s="96"/>
      <c r="CB150" s="96"/>
      <c r="CC150" s="96"/>
      <c r="CD150" s="96"/>
      <c r="CE150" s="96"/>
      <c r="CI150" s="100"/>
      <c r="CJ150" s="100"/>
      <c r="CK150" s="100"/>
      <c r="CL150" s="100"/>
      <c r="CM150" s="100"/>
      <c r="CN150" s="100"/>
      <c r="CO150" s="100"/>
      <c r="CP150" s="100"/>
    </row>
    <row r="151" spans="1:94" ht="13">
      <c r="A151" s="96"/>
      <c r="B151" s="96"/>
      <c r="C151" s="96"/>
      <c r="D151" s="96"/>
      <c r="E151" s="96"/>
      <c r="F151" s="96"/>
      <c r="G151" s="96"/>
      <c r="H151" s="97"/>
      <c r="I151" s="96"/>
      <c r="J151" s="96"/>
      <c r="K151" s="96"/>
      <c r="L151" s="96"/>
      <c r="M151" s="96"/>
      <c r="N151" s="96"/>
      <c r="O151" s="96"/>
      <c r="P151" s="96"/>
      <c r="Q151" s="98"/>
      <c r="S151" s="96"/>
      <c r="X151" s="96"/>
      <c r="AI151" s="96"/>
      <c r="AJ151" s="96"/>
      <c r="AK151" s="96"/>
      <c r="AL151" s="96"/>
      <c r="AS151" s="96"/>
      <c r="AT151" s="96"/>
      <c r="AU151" s="96"/>
      <c r="BA151" s="96"/>
      <c r="BB151" s="96"/>
      <c r="BC151" s="96"/>
      <c r="BD151" s="96"/>
      <c r="BE151" s="96"/>
      <c r="BI151" s="96"/>
      <c r="BJ151" s="96"/>
      <c r="BK151" s="96"/>
      <c r="BL151" s="96"/>
      <c r="BM151" s="96"/>
      <c r="BO151" s="96"/>
      <c r="BQ151" s="96"/>
      <c r="BR151" s="96"/>
      <c r="BS151" s="96"/>
      <c r="BT151" s="96"/>
      <c r="BU151" s="96"/>
      <c r="BV151" s="99"/>
      <c r="BW151" s="99"/>
      <c r="BX151" s="96"/>
      <c r="BY151" s="96"/>
      <c r="BZ151" s="99"/>
      <c r="CA151" s="96"/>
      <c r="CB151" s="96"/>
      <c r="CC151" s="96"/>
      <c r="CD151" s="96"/>
      <c r="CE151" s="96"/>
      <c r="CI151" s="100"/>
      <c r="CJ151" s="100"/>
      <c r="CK151" s="100"/>
      <c r="CL151" s="100"/>
      <c r="CM151" s="100"/>
      <c r="CN151" s="100"/>
      <c r="CO151" s="100"/>
      <c r="CP151" s="100"/>
    </row>
    <row r="152" spans="1:94" ht="13">
      <c r="A152" s="96"/>
      <c r="B152" s="96"/>
      <c r="C152" s="96"/>
      <c r="D152" s="96"/>
      <c r="E152" s="96"/>
      <c r="F152" s="96"/>
      <c r="G152" s="96"/>
      <c r="H152" s="97"/>
      <c r="I152" s="96"/>
      <c r="J152" s="96"/>
      <c r="K152" s="96"/>
      <c r="L152" s="96"/>
      <c r="M152" s="96"/>
      <c r="N152" s="96"/>
      <c r="O152" s="96"/>
      <c r="P152" s="96"/>
      <c r="Q152" s="98"/>
      <c r="S152" s="96"/>
      <c r="X152" s="96"/>
      <c r="AI152" s="96"/>
      <c r="AJ152" s="96"/>
      <c r="AK152" s="96"/>
      <c r="AL152" s="96"/>
      <c r="AS152" s="96"/>
      <c r="AT152" s="96"/>
      <c r="AU152" s="96"/>
      <c r="BA152" s="96"/>
      <c r="BB152" s="96"/>
      <c r="BC152" s="96"/>
      <c r="BD152" s="96"/>
      <c r="BE152" s="96"/>
      <c r="BI152" s="96"/>
      <c r="BJ152" s="96"/>
      <c r="BK152" s="96"/>
      <c r="BL152" s="96"/>
      <c r="BM152" s="96"/>
      <c r="BO152" s="96"/>
      <c r="BQ152" s="96"/>
      <c r="BR152" s="96"/>
      <c r="BS152" s="96"/>
      <c r="BT152" s="96"/>
      <c r="BU152" s="96"/>
      <c r="BV152" s="99"/>
      <c r="BW152" s="99"/>
      <c r="BX152" s="96"/>
      <c r="BY152" s="96"/>
      <c r="BZ152" s="99"/>
      <c r="CA152" s="96"/>
      <c r="CB152" s="96"/>
      <c r="CC152" s="96"/>
      <c r="CD152" s="96"/>
      <c r="CE152" s="96"/>
      <c r="CI152" s="100"/>
      <c r="CJ152" s="100"/>
      <c r="CK152" s="100"/>
      <c r="CL152" s="100"/>
      <c r="CM152" s="100"/>
      <c r="CN152" s="100"/>
      <c r="CO152" s="100"/>
      <c r="CP152" s="100"/>
    </row>
    <row r="153" spans="1:94" ht="13">
      <c r="A153" s="96"/>
      <c r="B153" s="96"/>
      <c r="C153" s="96"/>
      <c r="D153" s="96"/>
      <c r="E153" s="96"/>
      <c r="F153" s="96"/>
      <c r="G153" s="96"/>
      <c r="H153" s="97"/>
      <c r="I153" s="96"/>
      <c r="J153" s="96"/>
      <c r="K153" s="96"/>
      <c r="L153" s="96"/>
      <c r="M153" s="96"/>
      <c r="N153" s="96"/>
      <c r="O153" s="96"/>
      <c r="P153" s="96"/>
      <c r="Q153" s="98"/>
      <c r="S153" s="96"/>
      <c r="X153" s="96"/>
      <c r="AI153" s="96"/>
      <c r="AJ153" s="96"/>
      <c r="AK153" s="96"/>
      <c r="AL153" s="96"/>
      <c r="AS153" s="96"/>
      <c r="AT153" s="96"/>
      <c r="AU153" s="96"/>
      <c r="BA153" s="96"/>
      <c r="BB153" s="96"/>
      <c r="BC153" s="96"/>
      <c r="BD153" s="96"/>
      <c r="BE153" s="96"/>
      <c r="BI153" s="96"/>
      <c r="BJ153" s="96"/>
      <c r="BK153" s="96"/>
      <c r="BL153" s="96"/>
      <c r="BM153" s="96"/>
      <c r="BO153" s="96"/>
      <c r="BQ153" s="96"/>
      <c r="BR153" s="96"/>
      <c r="BS153" s="96"/>
      <c r="BT153" s="96"/>
      <c r="BU153" s="96"/>
      <c r="BV153" s="99"/>
      <c r="BW153" s="99"/>
      <c r="BX153" s="96"/>
      <c r="BY153" s="96"/>
      <c r="BZ153" s="99"/>
      <c r="CA153" s="96"/>
      <c r="CB153" s="96"/>
      <c r="CC153" s="96"/>
      <c r="CD153" s="96"/>
      <c r="CE153" s="96"/>
      <c r="CI153" s="100"/>
      <c r="CJ153" s="100"/>
      <c r="CK153" s="100"/>
      <c r="CL153" s="100"/>
      <c r="CM153" s="100"/>
      <c r="CN153" s="100"/>
      <c r="CO153" s="100"/>
      <c r="CP153" s="100"/>
    </row>
    <row r="154" spans="1:94" ht="13">
      <c r="A154" s="96"/>
      <c r="B154" s="96"/>
      <c r="C154" s="96"/>
      <c r="D154" s="96"/>
      <c r="E154" s="96"/>
      <c r="F154" s="96"/>
      <c r="G154" s="96"/>
      <c r="H154" s="97"/>
      <c r="I154" s="96"/>
      <c r="J154" s="96"/>
      <c r="K154" s="96"/>
      <c r="L154" s="96"/>
      <c r="M154" s="96"/>
      <c r="N154" s="96"/>
      <c r="O154" s="96"/>
      <c r="P154" s="96"/>
      <c r="Q154" s="98"/>
      <c r="S154" s="96"/>
      <c r="X154" s="96"/>
      <c r="AI154" s="96"/>
      <c r="AJ154" s="96"/>
      <c r="AK154" s="96"/>
      <c r="AL154" s="96"/>
      <c r="AS154" s="96"/>
      <c r="AT154" s="96"/>
      <c r="AU154" s="96"/>
      <c r="BA154" s="96"/>
      <c r="BB154" s="96"/>
      <c r="BC154" s="96"/>
      <c r="BD154" s="96"/>
      <c r="BE154" s="96"/>
      <c r="BI154" s="96"/>
      <c r="BJ154" s="96"/>
      <c r="BK154" s="96"/>
      <c r="BL154" s="96"/>
      <c r="BM154" s="96"/>
      <c r="BO154" s="96"/>
      <c r="BQ154" s="96"/>
      <c r="BR154" s="96"/>
      <c r="BS154" s="96"/>
      <c r="BT154" s="96"/>
      <c r="BU154" s="96"/>
      <c r="BV154" s="99"/>
      <c r="BW154" s="99"/>
      <c r="BX154" s="96"/>
      <c r="BY154" s="96"/>
      <c r="BZ154" s="99"/>
      <c r="CA154" s="96"/>
      <c r="CB154" s="96"/>
      <c r="CC154" s="96"/>
      <c r="CD154" s="96"/>
      <c r="CE154" s="96"/>
      <c r="CI154" s="100"/>
      <c r="CJ154" s="100"/>
      <c r="CK154" s="100"/>
      <c r="CL154" s="100"/>
      <c r="CM154" s="100"/>
      <c r="CN154" s="100"/>
      <c r="CO154" s="100"/>
      <c r="CP154" s="100"/>
    </row>
    <row r="155" spans="1:94" ht="13">
      <c r="A155" s="96"/>
      <c r="B155" s="96"/>
      <c r="C155" s="96"/>
      <c r="D155" s="96"/>
      <c r="E155" s="96"/>
      <c r="F155" s="96"/>
      <c r="G155" s="96"/>
      <c r="H155" s="97"/>
      <c r="I155" s="96"/>
      <c r="J155" s="96"/>
      <c r="K155" s="96"/>
      <c r="L155" s="96"/>
      <c r="M155" s="96"/>
      <c r="N155" s="96"/>
      <c r="O155" s="96"/>
      <c r="P155" s="96"/>
      <c r="Q155" s="98"/>
      <c r="S155" s="96"/>
      <c r="X155" s="96"/>
      <c r="AI155" s="96"/>
      <c r="AJ155" s="96"/>
      <c r="AK155" s="96"/>
      <c r="AL155" s="96"/>
      <c r="AS155" s="96"/>
      <c r="AT155" s="96"/>
      <c r="AU155" s="96"/>
      <c r="BA155" s="96"/>
      <c r="BB155" s="96"/>
      <c r="BC155" s="96"/>
      <c r="BD155" s="96"/>
      <c r="BE155" s="96"/>
      <c r="BI155" s="96"/>
      <c r="BJ155" s="96"/>
      <c r="BK155" s="96"/>
      <c r="BL155" s="96"/>
      <c r="BM155" s="96"/>
      <c r="BO155" s="96"/>
      <c r="BQ155" s="96"/>
      <c r="BR155" s="96"/>
      <c r="BS155" s="96"/>
      <c r="BT155" s="96"/>
      <c r="BU155" s="96"/>
      <c r="BV155" s="99"/>
      <c r="BW155" s="99"/>
      <c r="BX155" s="96"/>
      <c r="BY155" s="96"/>
      <c r="BZ155" s="99"/>
      <c r="CA155" s="96"/>
      <c r="CB155" s="96"/>
      <c r="CC155" s="96"/>
      <c r="CD155" s="96"/>
      <c r="CE155" s="96"/>
      <c r="CI155" s="100"/>
      <c r="CJ155" s="100"/>
      <c r="CK155" s="100"/>
      <c r="CL155" s="100"/>
      <c r="CM155" s="100"/>
      <c r="CN155" s="100"/>
      <c r="CO155" s="100"/>
      <c r="CP155" s="100"/>
    </row>
    <row r="156" spans="1:94" ht="13">
      <c r="A156" s="96"/>
      <c r="B156" s="96"/>
      <c r="C156" s="96"/>
      <c r="D156" s="96"/>
      <c r="E156" s="96"/>
      <c r="F156" s="96"/>
      <c r="G156" s="96"/>
      <c r="H156" s="97"/>
      <c r="I156" s="96"/>
      <c r="J156" s="96"/>
      <c r="K156" s="96"/>
      <c r="L156" s="96"/>
      <c r="M156" s="96"/>
      <c r="N156" s="96"/>
      <c r="O156" s="96"/>
      <c r="P156" s="96"/>
      <c r="Q156" s="98"/>
      <c r="S156" s="96"/>
      <c r="X156" s="96"/>
      <c r="AI156" s="96"/>
      <c r="AJ156" s="96"/>
      <c r="AK156" s="96"/>
      <c r="AL156" s="96"/>
      <c r="AS156" s="96"/>
      <c r="AT156" s="96"/>
      <c r="AU156" s="96"/>
      <c r="BA156" s="96"/>
      <c r="BB156" s="96"/>
      <c r="BC156" s="96"/>
      <c r="BD156" s="96"/>
      <c r="BE156" s="96"/>
      <c r="BI156" s="96"/>
      <c r="BJ156" s="96"/>
      <c r="BK156" s="96"/>
      <c r="BL156" s="96"/>
      <c r="BM156" s="96"/>
      <c r="BO156" s="96"/>
      <c r="BQ156" s="96"/>
      <c r="BR156" s="96"/>
      <c r="BS156" s="96"/>
      <c r="BT156" s="96"/>
      <c r="BU156" s="96"/>
      <c r="BV156" s="99"/>
      <c r="BW156" s="99"/>
      <c r="BX156" s="96"/>
      <c r="BY156" s="96"/>
      <c r="BZ156" s="99"/>
      <c r="CA156" s="96"/>
      <c r="CB156" s="96"/>
      <c r="CC156" s="96"/>
      <c r="CD156" s="96"/>
      <c r="CE156" s="96"/>
      <c r="CI156" s="100"/>
      <c r="CJ156" s="100"/>
      <c r="CK156" s="100"/>
      <c r="CL156" s="100"/>
      <c r="CM156" s="100"/>
      <c r="CN156" s="100"/>
      <c r="CO156" s="100"/>
      <c r="CP156" s="100"/>
    </row>
    <row r="157" spans="1:94" ht="13">
      <c r="A157" s="96"/>
      <c r="B157" s="96"/>
      <c r="C157" s="96"/>
      <c r="D157" s="96"/>
      <c r="E157" s="96"/>
      <c r="F157" s="96"/>
      <c r="G157" s="96"/>
      <c r="H157" s="97"/>
      <c r="I157" s="96"/>
      <c r="J157" s="96"/>
      <c r="K157" s="96"/>
      <c r="L157" s="96"/>
      <c r="M157" s="96"/>
      <c r="N157" s="96"/>
      <c r="O157" s="96"/>
      <c r="P157" s="96"/>
      <c r="Q157" s="98"/>
      <c r="S157" s="96"/>
      <c r="X157" s="96"/>
      <c r="AI157" s="96"/>
      <c r="AJ157" s="96"/>
      <c r="AK157" s="96"/>
      <c r="AL157" s="96"/>
      <c r="AS157" s="96"/>
      <c r="AT157" s="96"/>
      <c r="AU157" s="96"/>
      <c r="BA157" s="96"/>
      <c r="BB157" s="96"/>
      <c r="BC157" s="96"/>
      <c r="BD157" s="96"/>
      <c r="BE157" s="96"/>
      <c r="BI157" s="96"/>
      <c r="BJ157" s="96"/>
      <c r="BK157" s="96"/>
      <c r="BL157" s="96"/>
      <c r="BM157" s="96"/>
      <c r="BO157" s="96"/>
      <c r="BQ157" s="96"/>
      <c r="BR157" s="96"/>
      <c r="BS157" s="96"/>
      <c r="BT157" s="96"/>
      <c r="BU157" s="96"/>
      <c r="BV157" s="99"/>
      <c r="BW157" s="99"/>
      <c r="BX157" s="96"/>
      <c r="BY157" s="96"/>
      <c r="BZ157" s="99"/>
      <c r="CA157" s="96"/>
      <c r="CB157" s="96"/>
      <c r="CC157" s="96"/>
      <c r="CD157" s="96"/>
      <c r="CE157" s="96"/>
      <c r="CI157" s="100"/>
      <c r="CJ157" s="100"/>
      <c r="CK157" s="100"/>
      <c r="CL157" s="100"/>
      <c r="CM157" s="100"/>
      <c r="CN157" s="100"/>
      <c r="CO157" s="100"/>
      <c r="CP157" s="100"/>
    </row>
    <row r="158" spans="1:94" ht="13">
      <c r="A158" s="96"/>
      <c r="B158" s="96"/>
      <c r="C158" s="96"/>
      <c r="D158" s="96"/>
      <c r="E158" s="96"/>
      <c r="F158" s="96"/>
      <c r="G158" s="96"/>
      <c r="H158" s="97"/>
      <c r="I158" s="96"/>
      <c r="J158" s="96"/>
      <c r="K158" s="96"/>
      <c r="L158" s="96"/>
      <c r="M158" s="96"/>
      <c r="N158" s="96"/>
      <c r="O158" s="96"/>
      <c r="P158" s="96"/>
      <c r="Q158" s="98"/>
      <c r="S158" s="96"/>
      <c r="X158" s="96"/>
      <c r="AI158" s="96"/>
      <c r="AJ158" s="96"/>
      <c r="AK158" s="96"/>
      <c r="AL158" s="96"/>
      <c r="AS158" s="96"/>
      <c r="AT158" s="96"/>
      <c r="AU158" s="96"/>
      <c r="BA158" s="96"/>
      <c r="BB158" s="96"/>
      <c r="BC158" s="96"/>
      <c r="BD158" s="96"/>
      <c r="BE158" s="96"/>
      <c r="BI158" s="96"/>
      <c r="BJ158" s="96"/>
      <c r="BK158" s="96"/>
      <c r="BL158" s="96"/>
      <c r="BM158" s="96"/>
      <c r="BO158" s="96"/>
      <c r="BQ158" s="96"/>
      <c r="BR158" s="96"/>
      <c r="BS158" s="96"/>
      <c r="BT158" s="96"/>
      <c r="BU158" s="96"/>
      <c r="BV158" s="99"/>
      <c r="BW158" s="99"/>
      <c r="BX158" s="96"/>
      <c r="BY158" s="96"/>
      <c r="BZ158" s="99"/>
      <c r="CA158" s="96"/>
      <c r="CB158" s="96"/>
      <c r="CC158" s="96"/>
      <c r="CD158" s="96"/>
      <c r="CE158" s="96"/>
      <c r="CI158" s="100"/>
      <c r="CJ158" s="100"/>
      <c r="CK158" s="100"/>
      <c r="CL158" s="100"/>
      <c r="CM158" s="100"/>
      <c r="CN158" s="100"/>
      <c r="CO158" s="100"/>
      <c r="CP158" s="100"/>
    </row>
    <row r="159" spans="1:94" ht="13">
      <c r="A159" s="96"/>
      <c r="B159" s="96"/>
      <c r="C159" s="96"/>
      <c r="D159" s="96"/>
      <c r="E159" s="96"/>
      <c r="F159" s="96"/>
      <c r="G159" s="96"/>
      <c r="H159" s="97"/>
      <c r="I159" s="96"/>
      <c r="J159" s="96"/>
      <c r="K159" s="96"/>
      <c r="L159" s="96"/>
      <c r="M159" s="96"/>
      <c r="N159" s="96"/>
      <c r="O159" s="96"/>
      <c r="P159" s="96"/>
      <c r="Q159" s="98"/>
      <c r="S159" s="96"/>
      <c r="X159" s="96"/>
      <c r="AI159" s="96"/>
      <c r="AJ159" s="96"/>
      <c r="AK159" s="96"/>
      <c r="AL159" s="96"/>
      <c r="AS159" s="96"/>
      <c r="AT159" s="96"/>
      <c r="AU159" s="96"/>
      <c r="BA159" s="96"/>
      <c r="BB159" s="96"/>
      <c r="BC159" s="96"/>
      <c r="BD159" s="96"/>
      <c r="BE159" s="96"/>
      <c r="BI159" s="96"/>
      <c r="BJ159" s="96"/>
      <c r="BK159" s="96"/>
      <c r="BL159" s="96"/>
      <c r="BM159" s="96"/>
      <c r="BO159" s="96"/>
      <c r="BQ159" s="96"/>
      <c r="BR159" s="96"/>
      <c r="BS159" s="96"/>
      <c r="BT159" s="96"/>
      <c r="BU159" s="96"/>
      <c r="BV159" s="99"/>
      <c r="BW159" s="99"/>
      <c r="BX159" s="96"/>
      <c r="BY159" s="96"/>
      <c r="BZ159" s="99"/>
      <c r="CA159" s="96"/>
      <c r="CB159" s="96"/>
      <c r="CC159" s="96"/>
      <c r="CD159" s="96"/>
      <c r="CE159" s="96"/>
      <c r="CI159" s="100"/>
      <c r="CJ159" s="100"/>
      <c r="CK159" s="100"/>
      <c r="CL159" s="100"/>
      <c r="CM159" s="100"/>
      <c r="CN159" s="100"/>
      <c r="CO159" s="100"/>
      <c r="CP159" s="100"/>
    </row>
    <row r="160" spans="1:94" ht="13">
      <c r="A160" s="96"/>
      <c r="B160" s="96"/>
      <c r="C160" s="96"/>
      <c r="D160" s="96"/>
      <c r="E160" s="96"/>
      <c r="F160" s="96"/>
      <c r="G160" s="96"/>
      <c r="H160" s="97"/>
      <c r="I160" s="96"/>
      <c r="J160" s="96"/>
      <c r="K160" s="96"/>
      <c r="L160" s="96"/>
      <c r="M160" s="96"/>
      <c r="N160" s="96"/>
      <c r="O160" s="96"/>
      <c r="P160" s="96"/>
      <c r="Q160" s="98"/>
      <c r="S160" s="96"/>
      <c r="X160" s="96"/>
      <c r="AI160" s="96"/>
      <c r="AJ160" s="96"/>
      <c r="AK160" s="96"/>
      <c r="AL160" s="96"/>
      <c r="AS160" s="96"/>
      <c r="AT160" s="96"/>
      <c r="AU160" s="96"/>
      <c r="BA160" s="96"/>
      <c r="BB160" s="96"/>
      <c r="BC160" s="96"/>
      <c r="BD160" s="96"/>
      <c r="BE160" s="96"/>
      <c r="BI160" s="96"/>
      <c r="BJ160" s="96"/>
      <c r="BK160" s="96"/>
      <c r="BL160" s="96"/>
      <c r="BM160" s="96"/>
      <c r="BO160" s="96"/>
      <c r="BQ160" s="96"/>
      <c r="BR160" s="96"/>
      <c r="BS160" s="96"/>
      <c r="BT160" s="96"/>
      <c r="BU160" s="96"/>
      <c r="BV160" s="99"/>
      <c r="BW160" s="99"/>
      <c r="BX160" s="96"/>
      <c r="BY160" s="96"/>
      <c r="BZ160" s="99"/>
      <c r="CA160" s="96"/>
      <c r="CB160" s="96"/>
      <c r="CC160" s="96"/>
      <c r="CD160" s="96"/>
      <c r="CE160" s="96"/>
      <c r="CI160" s="100"/>
      <c r="CJ160" s="100"/>
      <c r="CK160" s="100"/>
      <c r="CL160" s="100"/>
      <c r="CM160" s="100"/>
      <c r="CN160" s="100"/>
      <c r="CO160" s="100"/>
      <c r="CP160" s="100"/>
    </row>
    <row r="161" spans="1:94" ht="13">
      <c r="A161" s="96"/>
      <c r="B161" s="96"/>
      <c r="C161" s="96"/>
      <c r="D161" s="96"/>
      <c r="E161" s="96"/>
      <c r="F161" s="96"/>
      <c r="G161" s="96"/>
      <c r="H161" s="97"/>
      <c r="I161" s="96"/>
      <c r="J161" s="96"/>
      <c r="K161" s="96"/>
      <c r="L161" s="96"/>
      <c r="M161" s="96"/>
      <c r="N161" s="96"/>
      <c r="O161" s="96"/>
      <c r="P161" s="96"/>
      <c r="Q161" s="98"/>
      <c r="S161" s="96"/>
      <c r="X161" s="96"/>
      <c r="AI161" s="96"/>
      <c r="AJ161" s="96"/>
      <c r="AK161" s="96"/>
      <c r="AL161" s="96"/>
      <c r="AS161" s="96"/>
      <c r="AT161" s="96"/>
      <c r="AU161" s="96"/>
      <c r="BA161" s="96"/>
      <c r="BB161" s="96"/>
      <c r="BC161" s="96"/>
      <c r="BD161" s="96"/>
      <c r="BE161" s="96"/>
      <c r="BI161" s="96"/>
      <c r="BJ161" s="96"/>
      <c r="BK161" s="96"/>
      <c r="BL161" s="96"/>
      <c r="BM161" s="96"/>
      <c r="BO161" s="96"/>
      <c r="BQ161" s="96"/>
      <c r="BR161" s="96"/>
      <c r="BS161" s="96"/>
      <c r="BT161" s="96"/>
      <c r="BU161" s="96"/>
      <c r="BV161" s="99"/>
      <c r="BW161" s="99"/>
      <c r="BX161" s="96"/>
      <c r="BY161" s="96"/>
      <c r="BZ161" s="99"/>
      <c r="CA161" s="96"/>
      <c r="CB161" s="96"/>
      <c r="CC161" s="96"/>
      <c r="CD161" s="96"/>
      <c r="CE161" s="96"/>
      <c r="CI161" s="100"/>
      <c r="CJ161" s="100"/>
      <c r="CK161" s="100"/>
      <c r="CL161" s="100"/>
      <c r="CM161" s="100"/>
      <c r="CN161" s="100"/>
      <c r="CO161" s="100"/>
      <c r="CP161" s="100"/>
    </row>
    <row r="162" spans="1:94" ht="13">
      <c r="A162" s="96"/>
      <c r="B162" s="96"/>
      <c r="C162" s="96"/>
      <c r="D162" s="96"/>
      <c r="E162" s="96"/>
      <c r="F162" s="96"/>
      <c r="G162" s="96"/>
      <c r="H162" s="97"/>
      <c r="I162" s="96"/>
      <c r="J162" s="96"/>
      <c r="K162" s="96"/>
      <c r="L162" s="96"/>
      <c r="M162" s="96"/>
      <c r="N162" s="96"/>
      <c r="O162" s="96"/>
      <c r="P162" s="96"/>
      <c r="Q162" s="98"/>
      <c r="S162" s="96"/>
      <c r="X162" s="96"/>
      <c r="AI162" s="96"/>
      <c r="AJ162" s="96"/>
      <c r="AK162" s="96"/>
      <c r="AL162" s="96"/>
      <c r="AS162" s="96"/>
      <c r="AT162" s="96"/>
      <c r="AU162" s="96"/>
      <c r="BA162" s="96"/>
      <c r="BB162" s="96"/>
      <c r="BC162" s="96"/>
      <c r="BD162" s="96"/>
      <c r="BE162" s="96"/>
      <c r="BI162" s="96"/>
      <c r="BJ162" s="96"/>
      <c r="BK162" s="96"/>
      <c r="BL162" s="96"/>
      <c r="BM162" s="96"/>
      <c r="BO162" s="96"/>
      <c r="BQ162" s="96"/>
      <c r="BR162" s="96"/>
      <c r="BS162" s="96"/>
      <c r="BT162" s="96"/>
      <c r="BU162" s="96"/>
      <c r="BV162" s="99"/>
      <c r="BW162" s="99"/>
      <c r="BX162" s="96"/>
      <c r="BY162" s="96"/>
      <c r="BZ162" s="99"/>
      <c r="CA162" s="96"/>
      <c r="CB162" s="96"/>
      <c r="CC162" s="96"/>
      <c r="CD162" s="96"/>
      <c r="CE162" s="96"/>
      <c r="CI162" s="100"/>
      <c r="CJ162" s="100"/>
      <c r="CK162" s="100"/>
      <c r="CL162" s="100"/>
      <c r="CM162" s="100"/>
      <c r="CN162" s="100"/>
      <c r="CO162" s="100"/>
      <c r="CP162" s="100"/>
    </row>
    <row r="163" spans="1:94" ht="13">
      <c r="A163" s="96"/>
      <c r="B163" s="96"/>
      <c r="C163" s="96"/>
      <c r="D163" s="96"/>
      <c r="E163" s="96"/>
      <c r="F163" s="96"/>
      <c r="G163" s="96"/>
      <c r="H163" s="97"/>
      <c r="I163" s="96"/>
      <c r="J163" s="96"/>
      <c r="K163" s="96"/>
      <c r="L163" s="96"/>
      <c r="M163" s="96"/>
      <c r="N163" s="96"/>
      <c r="O163" s="96"/>
      <c r="P163" s="96"/>
      <c r="Q163" s="98"/>
      <c r="S163" s="96"/>
      <c r="X163" s="96"/>
      <c r="AI163" s="96"/>
      <c r="AJ163" s="96"/>
      <c r="AK163" s="96"/>
      <c r="AL163" s="96"/>
      <c r="AS163" s="96"/>
      <c r="AT163" s="96"/>
      <c r="AU163" s="96"/>
      <c r="BA163" s="96"/>
      <c r="BB163" s="96"/>
      <c r="BC163" s="96"/>
      <c r="BD163" s="96"/>
      <c r="BE163" s="96"/>
      <c r="BI163" s="96"/>
      <c r="BJ163" s="96"/>
      <c r="BK163" s="96"/>
      <c r="BL163" s="96"/>
      <c r="BM163" s="96"/>
      <c r="BO163" s="96"/>
      <c r="BQ163" s="96"/>
      <c r="BR163" s="96"/>
      <c r="BS163" s="96"/>
      <c r="BT163" s="96"/>
      <c r="BU163" s="96"/>
      <c r="BV163" s="99"/>
      <c r="BW163" s="99"/>
      <c r="BX163" s="96"/>
      <c r="BY163" s="96"/>
      <c r="BZ163" s="99"/>
      <c r="CA163" s="96"/>
      <c r="CB163" s="96"/>
      <c r="CC163" s="96"/>
      <c r="CD163" s="96"/>
      <c r="CE163" s="96"/>
      <c r="CI163" s="100"/>
      <c r="CJ163" s="100"/>
      <c r="CK163" s="100"/>
      <c r="CL163" s="100"/>
      <c r="CM163" s="100"/>
      <c r="CN163" s="100"/>
      <c r="CO163" s="100"/>
      <c r="CP163" s="100"/>
    </row>
    <row r="164" spans="1:94" ht="13">
      <c r="A164" s="96"/>
      <c r="B164" s="96"/>
      <c r="C164" s="96"/>
      <c r="D164" s="96"/>
      <c r="E164" s="96"/>
      <c r="F164" s="96"/>
      <c r="G164" s="96"/>
      <c r="H164" s="97"/>
      <c r="I164" s="96"/>
      <c r="J164" s="96"/>
      <c r="K164" s="96"/>
      <c r="L164" s="96"/>
      <c r="M164" s="96"/>
      <c r="N164" s="96"/>
      <c r="O164" s="96"/>
      <c r="P164" s="96"/>
      <c r="Q164" s="98"/>
      <c r="S164" s="96"/>
      <c r="X164" s="96"/>
      <c r="AI164" s="96"/>
      <c r="AJ164" s="96"/>
      <c r="AK164" s="96"/>
      <c r="AL164" s="96"/>
      <c r="AS164" s="96"/>
      <c r="AT164" s="96"/>
      <c r="AU164" s="96"/>
      <c r="BA164" s="96"/>
      <c r="BB164" s="96"/>
      <c r="BC164" s="96"/>
      <c r="BD164" s="96"/>
      <c r="BE164" s="96"/>
      <c r="BI164" s="96"/>
      <c r="BJ164" s="96"/>
      <c r="BK164" s="96"/>
      <c r="BL164" s="96"/>
      <c r="BM164" s="96"/>
      <c r="BO164" s="96"/>
      <c r="BQ164" s="96"/>
      <c r="BR164" s="96"/>
      <c r="BS164" s="96"/>
      <c r="BT164" s="96"/>
      <c r="BU164" s="96"/>
      <c r="BV164" s="99"/>
      <c r="BW164" s="99"/>
      <c r="BX164" s="96"/>
      <c r="BY164" s="96"/>
      <c r="BZ164" s="99"/>
      <c r="CA164" s="96"/>
      <c r="CB164" s="96"/>
      <c r="CC164" s="96"/>
      <c r="CD164" s="96"/>
      <c r="CE164" s="96"/>
      <c r="CI164" s="100"/>
      <c r="CJ164" s="100"/>
      <c r="CK164" s="100"/>
      <c r="CL164" s="100"/>
      <c r="CM164" s="100"/>
      <c r="CN164" s="100"/>
      <c r="CO164" s="100"/>
      <c r="CP164" s="100"/>
    </row>
    <row r="165" spans="1:94" ht="13">
      <c r="A165" s="96"/>
      <c r="B165" s="96"/>
      <c r="C165" s="96"/>
      <c r="D165" s="96"/>
      <c r="E165" s="96"/>
      <c r="F165" s="96"/>
      <c r="G165" s="96"/>
      <c r="H165" s="97"/>
      <c r="I165" s="96"/>
      <c r="J165" s="96"/>
      <c r="K165" s="96"/>
      <c r="L165" s="96"/>
      <c r="M165" s="96"/>
      <c r="N165" s="96"/>
      <c r="O165" s="96"/>
      <c r="P165" s="96"/>
      <c r="Q165" s="98"/>
      <c r="S165" s="96"/>
      <c r="X165" s="96"/>
      <c r="AI165" s="96"/>
      <c r="AJ165" s="96"/>
      <c r="AK165" s="96"/>
      <c r="AL165" s="96"/>
      <c r="AS165" s="96"/>
      <c r="AT165" s="96"/>
      <c r="AU165" s="96"/>
      <c r="BA165" s="96"/>
      <c r="BB165" s="96"/>
      <c r="BC165" s="96"/>
      <c r="BD165" s="96"/>
      <c r="BE165" s="96"/>
      <c r="BI165" s="96"/>
      <c r="BJ165" s="96"/>
      <c r="BK165" s="96"/>
      <c r="BL165" s="96"/>
      <c r="BM165" s="96"/>
      <c r="BO165" s="96"/>
      <c r="BQ165" s="96"/>
      <c r="BR165" s="96"/>
      <c r="BS165" s="96"/>
      <c r="BT165" s="96"/>
      <c r="BU165" s="96"/>
      <c r="BV165" s="99"/>
      <c r="BW165" s="99"/>
      <c r="BX165" s="96"/>
      <c r="BY165" s="96"/>
      <c r="BZ165" s="99"/>
      <c r="CA165" s="96"/>
      <c r="CB165" s="96"/>
      <c r="CC165" s="96"/>
      <c r="CD165" s="96"/>
      <c r="CE165" s="96"/>
      <c r="CI165" s="100"/>
      <c r="CJ165" s="100"/>
      <c r="CK165" s="100"/>
      <c r="CL165" s="100"/>
      <c r="CM165" s="100"/>
      <c r="CN165" s="100"/>
      <c r="CO165" s="100"/>
      <c r="CP165" s="100"/>
    </row>
    <row r="166" spans="1:94" ht="13">
      <c r="A166" s="96"/>
      <c r="B166" s="96"/>
      <c r="C166" s="96"/>
      <c r="D166" s="96"/>
      <c r="E166" s="96"/>
      <c r="F166" s="96"/>
      <c r="G166" s="96"/>
      <c r="H166" s="97"/>
      <c r="I166" s="96"/>
      <c r="J166" s="96"/>
      <c r="K166" s="96"/>
      <c r="L166" s="96"/>
      <c r="M166" s="96"/>
      <c r="N166" s="96"/>
      <c r="O166" s="96"/>
      <c r="P166" s="96"/>
      <c r="Q166" s="98"/>
      <c r="S166" s="96"/>
      <c r="X166" s="96"/>
      <c r="AI166" s="96"/>
      <c r="AJ166" s="96"/>
      <c r="AK166" s="96"/>
      <c r="AL166" s="96"/>
      <c r="AS166" s="96"/>
      <c r="AT166" s="96"/>
      <c r="AU166" s="96"/>
      <c r="BA166" s="96"/>
      <c r="BB166" s="96"/>
      <c r="BC166" s="96"/>
      <c r="BD166" s="96"/>
      <c r="BE166" s="96"/>
      <c r="BI166" s="96"/>
      <c r="BJ166" s="96"/>
      <c r="BK166" s="96"/>
      <c r="BL166" s="96"/>
      <c r="BM166" s="96"/>
      <c r="BO166" s="96"/>
      <c r="BQ166" s="96"/>
      <c r="BR166" s="96"/>
      <c r="BS166" s="96"/>
      <c r="BT166" s="96"/>
      <c r="BU166" s="96"/>
      <c r="BV166" s="99"/>
      <c r="BW166" s="99"/>
      <c r="BX166" s="96"/>
      <c r="BY166" s="96"/>
      <c r="BZ166" s="99"/>
      <c r="CA166" s="96"/>
      <c r="CB166" s="96"/>
      <c r="CC166" s="96"/>
      <c r="CD166" s="96"/>
      <c r="CE166" s="96"/>
      <c r="CI166" s="100"/>
      <c r="CJ166" s="100"/>
      <c r="CK166" s="100"/>
      <c r="CL166" s="100"/>
      <c r="CM166" s="100"/>
      <c r="CN166" s="100"/>
      <c r="CO166" s="100"/>
      <c r="CP166" s="100"/>
    </row>
    <row r="167" spans="1:94" ht="13">
      <c r="A167" s="96"/>
      <c r="B167" s="96"/>
      <c r="C167" s="96"/>
      <c r="D167" s="96"/>
      <c r="E167" s="96"/>
      <c r="F167" s="96"/>
      <c r="G167" s="96"/>
      <c r="H167" s="97"/>
      <c r="I167" s="96"/>
      <c r="J167" s="96"/>
      <c r="K167" s="96"/>
      <c r="L167" s="96"/>
      <c r="M167" s="96"/>
      <c r="N167" s="96"/>
      <c r="O167" s="96"/>
      <c r="P167" s="96"/>
      <c r="Q167" s="98"/>
      <c r="S167" s="96"/>
      <c r="X167" s="96"/>
      <c r="AI167" s="96"/>
      <c r="AJ167" s="96"/>
      <c r="AK167" s="96"/>
      <c r="AL167" s="96"/>
      <c r="AS167" s="96"/>
      <c r="AT167" s="96"/>
      <c r="AU167" s="96"/>
      <c r="BA167" s="96"/>
      <c r="BB167" s="96"/>
      <c r="BC167" s="96"/>
      <c r="BD167" s="96"/>
      <c r="BE167" s="96"/>
      <c r="BI167" s="96"/>
      <c r="BJ167" s="96"/>
      <c r="BK167" s="96"/>
      <c r="BL167" s="96"/>
      <c r="BM167" s="96"/>
      <c r="BO167" s="96"/>
      <c r="BQ167" s="96"/>
      <c r="BR167" s="96"/>
      <c r="BS167" s="96"/>
      <c r="BT167" s="96"/>
      <c r="BU167" s="96"/>
      <c r="BV167" s="99"/>
      <c r="BW167" s="99"/>
      <c r="BX167" s="96"/>
      <c r="BY167" s="96"/>
      <c r="BZ167" s="99"/>
      <c r="CA167" s="96"/>
      <c r="CB167" s="96"/>
      <c r="CC167" s="96"/>
      <c r="CD167" s="96"/>
      <c r="CE167" s="96"/>
      <c r="CI167" s="100"/>
      <c r="CJ167" s="100"/>
      <c r="CK167" s="100"/>
      <c r="CL167" s="100"/>
      <c r="CM167" s="100"/>
      <c r="CN167" s="100"/>
      <c r="CO167" s="100"/>
      <c r="CP167" s="100"/>
    </row>
    <row r="168" spans="1:94" ht="13">
      <c r="A168" s="96"/>
      <c r="B168" s="96"/>
      <c r="C168" s="96"/>
      <c r="D168" s="96"/>
      <c r="E168" s="96"/>
      <c r="F168" s="96"/>
      <c r="G168" s="96"/>
      <c r="H168" s="97"/>
      <c r="I168" s="96"/>
      <c r="J168" s="96"/>
      <c r="K168" s="96"/>
      <c r="L168" s="96"/>
      <c r="M168" s="96"/>
      <c r="N168" s="96"/>
      <c r="O168" s="96"/>
      <c r="P168" s="96"/>
      <c r="Q168" s="98"/>
      <c r="S168" s="96"/>
      <c r="X168" s="96"/>
      <c r="AI168" s="96"/>
      <c r="AJ168" s="96"/>
      <c r="AK168" s="96"/>
      <c r="AL168" s="96"/>
      <c r="AS168" s="96"/>
      <c r="AT168" s="96"/>
      <c r="AU168" s="96"/>
      <c r="BA168" s="96"/>
      <c r="BB168" s="96"/>
      <c r="BC168" s="96"/>
      <c r="BD168" s="96"/>
      <c r="BE168" s="96"/>
      <c r="BI168" s="96"/>
      <c r="BJ168" s="96"/>
      <c r="BK168" s="96"/>
      <c r="BL168" s="96"/>
      <c r="BM168" s="96"/>
      <c r="BO168" s="96"/>
      <c r="BQ168" s="96"/>
      <c r="BR168" s="96"/>
      <c r="BS168" s="96"/>
      <c r="BT168" s="96"/>
      <c r="BU168" s="96"/>
      <c r="BV168" s="99"/>
      <c r="BW168" s="99"/>
      <c r="BX168" s="96"/>
      <c r="BY168" s="96"/>
      <c r="BZ168" s="99"/>
      <c r="CA168" s="96"/>
      <c r="CB168" s="96"/>
      <c r="CC168" s="96"/>
      <c r="CD168" s="96"/>
      <c r="CE168" s="96"/>
      <c r="CI168" s="100"/>
      <c r="CJ168" s="100"/>
      <c r="CK168" s="100"/>
      <c r="CL168" s="100"/>
      <c r="CM168" s="100"/>
      <c r="CN168" s="100"/>
      <c r="CO168" s="100"/>
      <c r="CP168" s="100"/>
    </row>
    <row r="169" spans="1:94" ht="13">
      <c r="A169" s="96"/>
      <c r="B169" s="96"/>
      <c r="C169" s="96"/>
      <c r="D169" s="96"/>
      <c r="E169" s="96"/>
      <c r="F169" s="96"/>
      <c r="G169" s="96"/>
      <c r="H169" s="97"/>
      <c r="I169" s="96"/>
      <c r="J169" s="96"/>
      <c r="K169" s="96"/>
      <c r="L169" s="96"/>
      <c r="M169" s="96"/>
      <c r="N169" s="96"/>
      <c r="O169" s="96"/>
      <c r="P169" s="96"/>
      <c r="Q169" s="98"/>
      <c r="S169" s="96"/>
      <c r="X169" s="96"/>
      <c r="AI169" s="96"/>
      <c r="AJ169" s="96"/>
      <c r="AK169" s="96"/>
      <c r="AL169" s="96"/>
      <c r="AS169" s="96"/>
      <c r="AT169" s="96"/>
      <c r="AU169" s="96"/>
      <c r="BA169" s="96"/>
      <c r="BB169" s="96"/>
      <c r="BC169" s="96"/>
      <c r="BD169" s="96"/>
      <c r="BE169" s="96"/>
      <c r="BI169" s="96"/>
      <c r="BJ169" s="96"/>
      <c r="BK169" s="96"/>
      <c r="BL169" s="96"/>
      <c r="BM169" s="96"/>
      <c r="BO169" s="96"/>
      <c r="BQ169" s="96"/>
      <c r="BR169" s="96"/>
      <c r="BS169" s="96"/>
      <c r="BT169" s="96"/>
      <c r="BU169" s="96"/>
      <c r="BV169" s="99"/>
      <c r="BW169" s="99"/>
      <c r="BX169" s="96"/>
      <c r="BY169" s="96"/>
      <c r="BZ169" s="99"/>
      <c r="CA169" s="96"/>
      <c r="CB169" s="96"/>
      <c r="CC169" s="96"/>
      <c r="CD169" s="96"/>
      <c r="CE169" s="96"/>
      <c r="CI169" s="100"/>
      <c r="CJ169" s="100"/>
      <c r="CK169" s="100"/>
      <c r="CL169" s="100"/>
      <c r="CM169" s="100"/>
      <c r="CN169" s="100"/>
      <c r="CO169" s="100"/>
      <c r="CP169" s="100"/>
    </row>
    <row r="170" spans="1:94" ht="13">
      <c r="A170" s="96"/>
      <c r="B170" s="96"/>
      <c r="C170" s="96"/>
      <c r="D170" s="96"/>
      <c r="E170" s="96"/>
      <c r="F170" s="96"/>
      <c r="G170" s="96"/>
      <c r="H170" s="97"/>
      <c r="I170" s="96"/>
      <c r="J170" s="96"/>
      <c r="K170" s="96"/>
      <c r="L170" s="96"/>
      <c r="M170" s="96"/>
      <c r="N170" s="96"/>
      <c r="O170" s="96"/>
      <c r="P170" s="96"/>
      <c r="Q170" s="98"/>
      <c r="S170" s="96"/>
      <c r="X170" s="96"/>
      <c r="AI170" s="96"/>
      <c r="AJ170" s="96"/>
      <c r="AK170" s="96"/>
      <c r="AL170" s="96"/>
      <c r="AS170" s="96"/>
      <c r="AT170" s="96"/>
      <c r="AU170" s="96"/>
      <c r="BA170" s="96"/>
      <c r="BB170" s="96"/>
      <c r="BC170" s="96"/>
      <c r="BD170" s="96"/>
      <c r="BE170" s="96"/>
      <c r="BI170" s="96"/>
      <c r="BJ170" s="96"/>
      <c r="BK170" s="96"/>
      <c r="BL170" s="96"/>
      <c r="BM170" s="96"/>
      <c r="BO170" s="96"/>
      <c r="BQ170" s="96"/>
      <c r="BR170" s="96"/>
      <c r="BS170" s="96"/>
      <c r="BT170" s="96"/>
      <c r="BU170" s="96"/>
      <c r="BV170" s="99"/>
      <c r="BW170" s="99"/>
      <c r="BX170" s="96"/>
      <c r="BY170" s="96"/>
      <c r="BZ170" s="99"/>
      <c r="CA170" s="96"/>
      <c r="CB170" s="96"/>
      <c r="CC170" s="96"/>
      <c r="CD170" s="96"/>
      <c r="CE170" s="96"/>
      <c r="CI170" s="100"/>
      <c r="CJ170" s="100"/>
      <c r="CK170" s="100"/>
      <c r="CL170" s="100"/>
      <c r="CM170" s="100"/>
      <c r="CN170" s="100"/>
      <c r="CO170" s="100"/>
      <c r="CP170" s="100"/>
    </row>
    <row r="171" spans="1:94" ht="13">
      <c r="A171" s="96"/>
      <c r="B171" s="96"/>
      <c r="C171" s="96"/>
      <c r="D171" s="96"/>
      <c r="E171" s="96"/>
      <c r="F171" s="96"/>
      <c r="G171" s="96"/>
      <c r="H171" s="97"/>
      <c r="I171" s="96"/>
      <c r="J171" s="96"/>
      <c r="K171" s="96"/>
      <c r="L171" s="96"/>
      <c r="M171" s="96"/>
      <c r="N171" s="96"/>
      <c r="O171" s="96"/>
      <c r="P171" s="96"/>
      <c r="Q171" s="98"/>
      <c r="S171" s="96"/>
      <c r="X171" s="96"/>
      <c r="AI171" s="96"/>
      <c r="AJ171" s="96"/>
      <c r="AK171" s="96"/>
      <c r="AL171" s="96"/>
      <c r="AS171" s="96"/>
      <c r="AT171" s="96"/>
      <c r="AU171" s="96"/>
      <c r="BA171" s="96"/>
      <c r="BB171" s="96"/>
      <c r="BC171" s="96"/>
      <c r="BD171" s="96"/>
      <c r="BE171" s="96"/>
      <c r="BI171" s="96"/>
      <c r="BJ171" s="96"/>
      <c r="BK171" s="96"/>
      <c r="BL171" s="96"/>
      <c r="BM171" s="96"/>
      <c r="BO171" s="96"/>
      <c r="BQ171" s="96"/>
      <c r="BR171" s="96"/>
      <c r="BS171" s="96"/>
      <c r="BT171" s="96"/>
      <c r="BU171" s="96"/>
      <c r="BV171" s="99"/>
      <c r="BW171" s="99"/>
      <c r="BX171" s="96"/>
      <c r="BY171" s="96"/>
      <c r="BZ171" s="99"/>
      <c r="CA171" s="96"/>
      <c r="CB171" s="96"/>
      <c r="CC171" s="96"/>
      <c r="CD171" s="96"/>
      <c r="CE171" s="96"/>
      <c r="CI171" s="100"/>
      <c r="CJ171" s="100"/>
      <c r="CK171" s="100"/>
      <c r="CL171" s="100"/>
      <c r="CM171" s="100"/>
      <c r="CN171" s="100"/>
      <c r="CO171" s="100"/>
      <c r="CP171" s="100"/>
    </row>
    <row r="172" spans="1:94" ht="13">
      <c r="A172" s="96"/>
      <c r="B172" s="96"/>
      <c r="C172" s="96"/>
      <c r="D172" s="96"/>
      <c r="E172" s="96"/>
      <c r="F172" s="96"/>
      <c r="G172" s="96"/>
      <c r="H172" s="97"/>
      <c r="I172" s="96"/>
      <c r="J172" s="96"/>
      <c r="K172" s="96"/>
      <c r="L172" s="96"/>
      <c r="M172" s="96"/>
      <c r="N172" s="96"/>
      <c r="O172" s="96"/>
      <c r="P172" s="96"/>
      <c r="Q172" s="98"/>
      <c r="S172" s="96"/>
      <c r="X172" s="96"/>
      <c r="AI172" s="96"/>
      <c r="AJ172" s="96"/>
      <c r="AK172" s="96"/>
      <c r="AL172" s="96"/>
      <c r="AS172" s="96"/>
      <c r="AT172" s="96"/>
      <c r="AU172" s="96"/>
      <c r="BA172" s="96"/>
      <c r="BB172" s="96"/>
      <c r="BC172" s="96"/>
      <c r="BD172" s="96"/>
      <c r="BE172" s="96"/>
      <c r="BI172" s="96"/>
      <c r="BJ172" s="96"/>
      <c r="BK172" s="96"/>
      <c r="BL172" s="96"/>
      <c r="BM172" s="96"/>
      <c r="BO172" s="96"/>
      <c r="BQ172" s="96"/>
      <c r="BR172" s="96"/>
      <c r="BS172" s="96"/>
      <c r="BT172" s="96"/>
      <c r="BU172" s="96"/>
      <c r="BV172" s="99"/>
      <c r="BW172" s="99"/>
      <c r="BX172" s="96"/>
      <c r="BY172" s="96"/>
      <c r="BZ172" s="99"/>
      <c r="CA172" s="96"/>
      <c r="CB172" s="96"/>
      <c r="CC172" s="96"/>
      <c r="CD172" s="96"/>
      <c r="CE172" s="96"/>
      <c r="CI172" s="100"/>
      <c r="CJ172" s="100"/>
      <c r="CK172" s="100"/>
      <c r="CL172" s="100"/>
      <c r="CM172" s="100"/>
      <c r="CN172" s="100"/>
      <c r="CO172" s="100"/>
      <c r="CP172" s="100"/>
    </row>
    <row r="173" spans="1:94" ht="13">
      <c r="A173" s="96"/>
      <c r="B173" s="96"/>
      <c r="C173" s="96"/>
      <c r="D173" s="96"/>
      <c r="E173" s="96"/>
      <c r="F173" s="96"/>
      <c r="G173" s="96"/>
      <c r="H173" s="97"/>
      <c r="I173" s="96"/>
      <c r="J173" s="96"/>
      <c r="K173" s="96"/>
      <c r="L173" s="96"/>
      <c r="M173" s="96"/>
      <c r="N173" s="96"/>
      <c r="O173" s="96"/>
      <c r="P173" s="96"/>
      <c r="Q173" s="98"/>
      <c r="S173" s="96"/>
      <c r="X173" s="96"/>
      <c r="AI173" s="96"/>
      <c r="AJ173" s="96"/>
      <c r="AK173" s="96"/>
      <c r="AL173" s="96"/>
      <c r="AS173" s="96"/>
      <c r="AT173" s="96"/>
      <c r="AU173" s="96"/>
      <c r="BA173" s="96"/>
      <c r="BB173" s="96"/>
      <c r="BC173" s="96"/>
      <c r="BD173" s="96"/>
      <c r="BE173" s="96"/>
      <c r="BI173" s="96"/>
      <c r="BJ173" s="96"/>
      <c r="BK173" s="96"/>
      <c r="BL173" s="96"/>
      <c r="BM173" s="96"/>
      <c r="BO173" s="96"/>
      <c r="BQ173" s="96"/>
      <c r="BR173" s="96"/>
      <c r="BS173" s="96"/>
      <c r="BT173" s="96"/>
      <c r="BU173" s="96"/>
      <c r="BV173" s="99"/>
      <c r="BW173" s="99"/>
      <c r="BX173" s="96"/>
      <c r="BY173" s="96"/>
      <c r="BZ173" s="99"/>
      <c r="CA173" s="96"/>
      <c r="CB173" s="96"/>
      <c r="CC173" s="96"/>
      <c r="CD173" s="96"/>
      <c r="CE173" s="96"/>
      <c r="CI173" s="100"/>
      <c r="CJ173" s="100"/>
      <c r="CK173" s="100"/>
      <c r="CL173" s="100"/>
      <c r="CM173" s="100"/>
      <c r="CN173" s="100"/>
      <c r="CO173" s="100"/>
      <c r="CP173" s="100"/>
    </row>
    <row r="174" spans="1:94" ht="13">
      <c r="A174" s="96"/>
      <c r="B174" s="96"/>
      <c r="C174" s="96"/>
      <c r="D174" s="96"/>
      <c r="E174" s="96"/>
      <c r="F174" s="96"/>
      <c r="G174" s="96"/>
      <c r="H174" s="97"/>
      <c r="I174" s="96"/>
      <c r="J174" s="96"/>
      <c r="K174" s="96"/>
      <c r="L174" s="96"/>
      <c r="M174" s="96"/>
      <c r="N174" s="96"/>
      <c r="O174" s="96"/>
      <c r="P174" s="96"/>
      <c r="Q174" s="98"/>
      <c r="S174" s="96"/>
      <c r="X174" s="96"/>
      <c r="AI174" s="96"/>
      <c r="AJ174" s="96"/>
      <c r="AK174" s="96"/>
      <c r="AL174" s="96"/>
      <c r="AS174" s="96"/>
      <c r="AT174" s="96"/>
      <c r="AU174" s="96"/>
      <c r="BA174" s="96"/>
      <c r="BB174" s="96"/>
      <c r="BC174" s="96"/>
      <c r="BD174" s="96"/>
      <c r="BE174" s="96"/>
      <c r="BI174" s="96"/>
      <c r="BJ174" s="96"/>
      <c r="BK174" s="96"/>
      <c r="BL174" s="96"/>
      <c r="BM174" s="96"/>
      <c r="BO174" s="96"/>
      <c r="BQ174" s="96"/>
      <c r="BR174" s="96"/>
      <c r="BS174" s="96"/>
      <c r="BT174" s="96"/>
      <c r="BU174" s="96"/>
      <c r="BV174" s="99"/>
      <c r="BW174" s="99"/>
      <c r="BX174" s="96"/>
      <c r="BY174" s="96"/>
      <c r="BZ174" s="99"/>
      <c r="CA174" s="96"/>
      <c r="CB174" s="96"/>
      <c r="CC174" s="96"/>
      <c r="CD174" s="96"/>
      <c r="CE174" s="96"/>
      <c r="CI174" s="100"/>
      <c r="CJ174" s="100"/>
      <c r="CK174" s="100"/>
      <c r="CL174" s="100"/>
      <c r="CM174" s="100"/>
      <c r="CN174" s="100"/>
      <c r="CO174" s="100"/>
      <c r="CP174" s="100"/>
    </row>
    <row r="175" spans="1:94" ht="13">
      <c r="A175" s="96"/>
      <c r="B175" s="96"/>
      <c r="C175" s="96"/>
      <c r="D175" s="96"/>
      <c r="E175" s="96"/>
      <c r="F175" s="96"/>
      <c r="G175" s="96"/>
      <c r="H175" s="97"/>
      <c r="I175" s="96"/>
      <c r="J175" s="96"/>
      <c r="K175" s="96"/>
      <c r="L175" s="96"/>
      <c r="M175" s="96"/>
      <c r="N175" s="96"/>
      <c r="O175" s="96"/>
      <c r="P175" s="96"/>
      <c r="Q175" s="98"/>
      <c r="S175" s="96"/>
      <c r="X175" s="96"/>
      <c r="AI175" s="96"/>
      <c r="AJ175" s="96"/>
      <c r="AK175" s="96"/>
      <c r="AL175" s="96"/>
      <c r="AS175" s="96"/>
      <c r="AT175" s="96"/>
      <c r="AU175" s="96"/>
      <c r="BA175" s="96"/>
      <c r="BB175" s="96"/>
      <c r="BC175" s="96"/>
      <c r="BD175" s="96"/>
      <c r="BE175" s="96"/>
      <c r="BI175" s="96"/>
      <c r="BJ175" s="96"/>
      <c r="BK175" s="96"/>
      <c r="BL175" s="96"/>
      <c r="BM175" s="96"/>
      <c r="BO175" s="96"/>
      <c r="BQ175" s="96"/>
      <c r="BR175" s="96"/>
      <c r="BS175" s="96"/>
      <c r="BT175" s="96"/>
      <c r="BU175" s="96"/>
      <c r="BV175" s="99"/>
      <c r="BW175" s="99"/>
      <c r="BX175" s="96"/>
      <c r="BY175" s="96"/>
      <c r="BZ175" s="99"/>
      <c r="CA175" s="96"/>
      <c r="CB175" s="96"/>
      <c r="CC175" s="96"/>
      <c r="CD175" s="96"/>
      <c r="CE175" s="96"/>
      <c r="CI175" s="100"/>
      <c r="CJ175" s="100"/>
      <c r="CK175" s="100"/>
      <c r="CL175" s="100"/>
      <c r="CM175" s="100"/>
      <c r="CN175" s="100"/>
      <c r="CO175" s="100"/>
      <c r="CP175" s="100"/>
    </row>
    <row r="176" spans="1:94" ht="13">
      <c r="A176" s="96"/>
      <c r="B176" s="96"/>
      <c r="C176" s="96"/>
      <c r="D176" s="96"/>
      <c r="E176" s="96"/>
      <c r="F176" s="96"/>
      <c r="G176" s="96"/>
      <c r="H176" s="97"/>
      <c r="I176" s="96"/>
      <c r="J176" s="96"/>
      <c r="K176" s="96"/>
      <c r="L176" s="96"/>
      <c r="M176" s="96"/>
      <c r="N176" s="96"/>
      <c r="O176" s="96"/>
      <c r="P176" s="96"/>
      <c r="Q176" s="98"/>
      <c r="S176" s="96"/>
      <c r="X176" s="96"/>
      <c r="AI176" s="96"/>
      <c r="AJ176" s="96"/>
      <c r="AK176" s="96"/>
      <c r="AL176" s="96"/>
      <c r="AS176" s="96"/>
      <c r="AT176" s="96"/>
      <c r="AU176" s="96"/>
      <c r="BA176" s="96"/>
      <c r="BB176" s="96"/>
      <c r="BC176" s="96"/>
      <c r="BD176" s="96"/>
      <c r="BE176" s="96"/>
      <c r="BI176" s="96"/>
      <c r="BJ176" s="96"/>
      <c r="BK176" s="96"/>
      <c r="BL176" s="96"/>
      <c r="BM176" s="96"/>
      <c r="BO176" s="96"/>
      <c r="BQ176" s="96"/>
      <c r="BR176" s="96"/>
      <c r="BS176" s="96"/>
      <c r="BT176" s="96"/>
      <c r="BU176" s="96"/>
      <c r="BV176" s="99"/>
      <c r="BW176" s="99"/>
      <c r="BX176" s="96"/>
      <c r="BY176" s="96"/>
      <c r="BZ176" s="99"/>
      <c r="CA176" s="96"/>
      <c r="CB176" s="96"/>
      <c r="CC176" s="96"/>
      <c r="CD176" s="96"/>
      <c r="CE176" s="96"/>
      <c r="CI176" s="100"/>
      <c r="CJ176" s="100"/>
      <c r="CK176" s="100"/>
      <c r="CL176" s="100"/>
      <c r="CM176" s="100"/>
      <c r="CN176" s="100"/>
      <c r="CO176" s="100"/>
      <c r="CP176" s="100"/>
    </row>
    <row r="177" spans="1:94" ht="13">
      <c r="A177" s="96"/>
      <c r="B177" s="96"/>
      <c r="C177" s="96"/>
      <c r="D177" s="96"/>
      <c r="E177" s="96"/>
      <c r="F177" s="96"/>
      <c r="G177" s="96"/>
      <c r="H177" s="97"/>
      <c r="I177" s="96"/>
      <c r="J177" s="96"/>
      <c r="K177" s="96"/>
      <c r="L177" s="96"/>
      <c r="M177" s="96"/>
      <c r="N177" s="96"/>
      <c r="O177" s="96"/>
      <c r="P177" s="96"/>
      <c r="Q177" s="98"/>
      <c r="S177" s="96"/>
      <c r="X177" s="96"/>
      <c r="AI177" s="96"/>
      <c r="AJ177" s="96"/>
      <c r="AK177" s="96"/>
      <c r="AL177" s="96"/>
      <c r="AS177" s="96"/>
      <c r="AT177" s="96"/>
      <c r="AU177" s="96"/>
      <c r="BA177" s="96"/>
      <c r="BB177" s="96"/>
      <c r="BC177" s="96"/>
      <c r="BD177" s="96"/>
      <c r="BE177" s="96"/>
      <c r="BI177" s="96"/>
      <c r="BJ177" s="96"/>
      <c r="BK177" s="96"/>
      <c r="BL177" s="96"/>
      <c r="BM177" s="96"/>
      <c r="BO177" s="96"/>
      <c r="BQ177" s="96"/>
      <c r="BR177" s="96"/>
      <c r="BS177" s="96"/>
      <c r="BT177" s="96"/>
      <c r="BU177" s="96"/>
      <c r="BV177" s="99"/>
      <c r="BW177" s="99"/>
      <c r="BX177" s="96"/>
      <c r="BY177" s="96"/>
      <c r="BZ177" s="99"/>
      <c r="CA177" s="96"/>
      <c r="CB177" s="96"/>
      <c r="CC177" s="96"/>
      <c r="CD177" s="96"/>
      <c r="CE177" s="96"/>
      <c r="CI177" s="100"/>
      <c r="CJ177" s="100"/>
      <c r="CK177" s="100"/>
      <c r="CL177" s="100"/>
      <c r="CM177" s="100"/>
      <c r="CN177" s="100"/>
      <c r="CO177" s="100"/>
      <c r="CP177" s="100"/>
    </row>
    <row r="178" spans="1:94" ht="13">
      <c r="A178" s="96"/>
      <c r="B178" s="96"/>
      <c r="C178" s="96"/>
      <c r="D178" s="96"/>
      <c r="E178" s="96"/>
      <c r="F178" s="96"/>
      <c r="G178" s="96"/>
      <c r="H178" s="97"/>
      <c r="I178" s="96"/>
      <c r="J178" s="96"/>
      <c r="K178" s="96"/>
      <c r="L178" s="96"/>
      <c r="M178" s="96"/>
      <c r="N178" s="96"/>
      <c r="O178" s="96"/>
      <c r="P178" s="96"/>
      <c r="Q178" s="98"/>
      <c r="S178" s="96"/>
      <c r="X178" s="96"/>
      <c r="AI178" s="96"/>
      <c r="AJ178" s="96"/>
      <c r="AK178" s="96"/>
      <c r="AL178" s="96"/>
      <c r="AS178" s="96"/>
      <c r="AT178" s="96"/>
      <c r="AU178" s="96"/>
      <c r="BA178" s="96"/>
      <c r="BB178" s="96"/>
      <c r="BC178" s="96"/>
      <c r="BD178" s="96"/>
      <c r="BE178" s="96"/>
      <c r="BI178" s="96"/>
      <c r="BJ178" s="96"/>
      <c r="BK178" s="96"/>
      <c r="BL178" s="96"/>
      <c r="BM178" s="96"/>
      <c r="BO178" s="96"/>
      <c r="BQ178" s="96"/>
      <c r="BR178" s="96"/>
      <c r="BS178" s="96"/>
      <c r="BT178" s="96"/>
      <c r="BU178" s="96"/>
      <c r="BV178" s="99"/>
      <c r="BW178" s="99"/>
      <c r="BX178" s="96"/>
      <c r="BY178" s="96"/>
      <c r="BZ178" s="99"/>
      <c r="CA178" s="96"/>
      <c r="CB178" s="96"/>
      <c r="CC178" s="96"/>
      <c r="CD178" s="96"/>
      <c r="CE178" s="96"/>
      <c r="CI178" s="100"/>
      <c r="CJ178" s="100"/>
      <c r="CK178" s="100"/>
      <c r="CL178" s="100"/>
      <c r="CM178" s="100"/>
      <c r="CN178" s="100"/>
      <c r="CO178" s="100"/>
      <c r="CP178" s="100"/>
    </row>
    <row r="179" spans="1:94" ht="13">
      <c r="A179" s="96"/>
      <c r="B179" s="96"/>
      <c r="C179" s="96"/>
      <c r="D179" s="96"/>
      <c r="E179" s="96"/>
      <c r="F179" s="96"/>
      <c r="G179" s="96"/>
      <c r="H179" s="97"/>
      <c r="I179" s="96"/>
      <c r="J179" s="96"/>
      <c r="K179" s="96"/>
      <c r="L179" s="96"/>
      <c r="M179" s="96"/>
      <c r="N179" s="96"/>
      <c r="O179" s="96"/>
      <c r="P179" s="96"/>
      <c r="Q179" s="98"/>
      <c r="S179" s="96"/>
      <c r="X179" s="96"/>
      <c r="AI179" s="96"/>
      <c r="AJ179" s="96"/>
      <c r="AK179" s="96"/>
      <c r="AL179" s="96"/>
      <c r="AS179" s="96"/>
      <c r="AT179" s="96"/>
      <c r="AU179" s="96"/>
      <c r="BA179" s="96"/>
      <c r="BB179" s="96"/>
      <c r="BC179" s="96"/>
      <c r="BD179" s="96"/>
      <c r="BE179" s="96"/>
      <c r="BI179" s="96"/>
      <c r="BJ179" s="96"/>
      <c r="BK179" s="96"/>
      <c r="BL179" s="96"/>
      <c r="BM179" s="96"/>
      <c r="BO179" s="96"/>
      <c r="BQ179" s="96"/>
      <c r="BR179" s="96"/>
      <c r="BS179" s="96"/>
      <c r="BT179" s="96"/>
      <c r="BU179" s="96"/>
      <c r="BV179" s="99"/>
      <c r="BW179" s="99"/>
      <c r="BX179" s="96"/>
      <c r="BY179" s="96"/>
      <c r="BZ179" s="99"/>
      <c r="CA179" s="96"/>
      <c r="CB179" s="96"/>
      <c r="CC179" s="96"/>
      <c r="CD179" s="96"/>
      <c r="CE179" s="96"/>
      <c r="CI179" s="100"/>
      <c r="CJ179" s="100"/>
      <c r="CK179" s="100"/>
      <c r="CL179" s="100"/>
      <c r="CM179" s="100"/>
      <c r="CN179" s="100"/>
      <c r="CO179" s="100"/>
      <c r="CP179" s="100"/>
    </row>
    <row r="180" spans="1:94" ht="13">
      <c r="A180" s="96"/>
      <c r="B180" s="96"/>
      <c r="C180" s="96"/>
      <c r="D180" s="96"/>
      <c r="E180" s="96"/>
      <c r="F180" s="96"/>
      <c r="G180" s="96"/>
      <c r="H180" s="97"/>
      <c r="I180" s="96"/>
      <c r="J180" s="96"/>
      <c r="K180" s="96"/>
      <c r="L180" s="96"/>
      <c r="M180" s="96"/>
      <c r="N180" s="96"/>
      <c r="O180" s="96"/>
      <c r="P180" s="96"/>
      <c r="Q180" s="98"/>
      <c r="S180" s="96"/>
      <c r="X180" s="96"/>
      <c r="AI180" s="96"/>
      <c r="AJ180" s="96"/>
      <c r="AK180" s="96"/>
      <c r="AL180" s="96"/>
      <c r="AS180" s="96"/>
      <c r="AT180" s="96"/>
      <c r="AU180" s="96"/>
      <c r="BA180" s="96"/>
      <c r="BB180" s="96"/>
      <c r="BC180" s="96"/>
      <c r="BD180" s="96"/>
      <c r="BE180" s="96"/>
      <c r="BI180" s="96"/>
      <c r="BJ180" s="96"/>
      <c r="BK180" s="96"/>
      <c r="BL180" s="96"/>
      <c r="BM180" s="96"/>
      <c r="BO180" s="96"/>
      <c r="BQ180" s="96"/>
      <c r="BR180" s="96"/>
      <c r="BS180" s="96"/>
      <c r="BT180" s="96"/>
      <c r="BU180" s="96"/>
      <c r="BV180" s="99"/>
      <c r="BW180" s="99"/>
      <c r="BX180" s="96"/>
      <c r="BY180" s="96"/>
      <c r="BZ180" s="99"/>
      <c r="CA180" s="96"/>
      <c r="CB180" s="96"/>
      <c r="CC180" s="96"/>
      <c r="CD180" s="96"/>
      <c r="CE180" s="96"/>
      <c r="CI180" s="100"/>
      <c r="CJ180" s="100"/>
      <c r="CK180" s="100"/>
      <c r="CL180" s="100"/>
      <c r="CM180" s="100"/>
      <c r="CN180" s="100"/>
      <c r="CO180" s="100"/>
      <c r="CP180" s="100"/>
    </row>
    <row r="181" spans="1:94" ht="13">
      <c r="A181" s="96"/>
      <c r="B181" s="96"/>
      <c r="C181" s="96"/>
      <c r="D181" s="96"/>
      <c r="E181" s="96"/>
      <c r="F181" s="96"/>
      <c r="G181" s="96"/>
      <c r="H181" s="97"/>
      <c r="I181" s="96"/>
      <c r="J181" s="96"/>
      <c r="K181" s="96"/>
      <c r="L181" s="96"/>
      <c r="M181" s="96"/>
      <c r="N181" s="96"/>
      <c r="O181" s="96"/>
      <c r="P181" s="96"/>
      <c r="Q181" s="98"/>
      <c r="S181" s="96"/>
      <c r="X181" s="96"/>
      <c r="AI181" s="96"/>
      <c r="AJ181" s="96"/>
      <c r="AK181" s="96"/>
      <c r="AL181" s="96"/>
      <c r="AS181" s="96"/>
      <c r="AT181" s="96"/>
      <c r="AU181" s="96"/>
      <c r="BA181" s="96"/>
      <c r="BB181" s="96"/>
      <c r="BC181" s="96"/>
      <c r="BD181" s="96"/>
      <c r="BE181" s="96"/>
      <c r="BI181" s="96"/>
      <c r="BJ181" s="96"/>
      <c r="BK181" s="96"/>
      <c r="BL181" s="96"/>
      <c r="BM181" s="96"/>
      <c r="BO181" s="96"/>
      <c r="BQ181" s="96"/>
      <c r="BR181" s="96"/>
      <c r="BS181" s="96"/>
      <c r="BT181" s="96"/>
      <c r="BU181" s="96"/>
      <c r="BV181" s="99"/>
      <c r="BW181" s="99"/>
      <c r="BX181" s="96"/>
      <c r="BY181" s="96"/>
      <c r="BZ181" s="99"/>
      <c r="CA181" s="96"/>
      <c r="CB181" s="96"/>
      <c r="CC181" s="96"/>
      <c r="CD181" s="96"/>
      <c r="CE181" s="96"/>
      <c r="CI181" s="100"/>
      <c r="CJ181" s="100"/>
      <c r="CK181" s="100"/>
      <c r="CL181" s="100"/>
      <c r="CM181" s="100"/>
      <c r="CN181" s="100"/>
      <c r="CO181" s="100"/>
      <c r="CP181" s="100"/>
    </row>
    <row r="182" spans="1:94" ht="13">
      <c r="A182" s="96"/>
      <c r="B182" s="96"/>
      <c r="C182" s="96"/>
      <c r="D182" s="96"/>
      <c r="E182" s="96"/>
      <c r="F182" s="96"/>
      <c r="G182" s="96"/>
      <c r="H182" s="97"/>
      <c r="I182" s="96"/>
      <c r="J182" s="96"/>
      <c r="K182" s="96"/>
      <c r="L182" s="96"/>
      <c r="M182" s="96"/>
      <c r="N182" s="96"/>
      <c r="O182" s="96"/>
      <c r="P182" s="96"/>
      <c r="Q182" s="98"/>
      <c r="S182" s="96"/>
      <c r="X182" s="96"/>
      <c r="AI182" s="96"/>
      <c r="AJ182" s="96"/>
      <c r="AK182" s="96"/>
      <c r="AL182" s="96"/>
      <c r="AS182" s="96"/>
      <c r="AT182" s="96"/>
      <c r="AU182" s="96"/>
      <c r="BA182" s="96"/>
      <c r="BB182" s="96"/>
      <c r="BC182" s="96"/>
      <c r="BD182" s="96"/>
      <c r="BE182" s="96"/>
      <c r="BI182" s="96"/>
      <c r="BJ182" s="96"/>
      <c r="BK182" s="96"/>
      <c r="BL182" s="96"/>
      <c r="BM182" s="96"/>
      <c r="BO182" s="96"/>
      <c r="BQ182" s="96"/>
      <c r="BR182" s="96"/>
      <c r="BS182" s="96"/>
      <c r="BT182" s="96"/>
      <c r="BU182" s="96"/>
      <c r="BV182" s="99"/>
      <c r="BW182" s="99"/>
      <c r="BX182" s="96"/>
      <c r="BY182" s="96"/>
      <c r="BZ182" s="99"/>
      <c r="CA182" s="96"/>
      <c r="CB182" s="96"/>
      <c r="CC182" s="96"/>
      <c r="CD182" s="96"/>
      <c r="CE182" s="96"/>
      <c r="CI182" s="100"/>
      <c r="CJ182" s="100"/>
      <c r="CK182" s="100"/>
      <c r="CL182" s="100"/>
      <c r="CM182" s="100"/>
      <c r="CN182" s="100"/>
      <c r="CO182" s="100"/>
      <c r="CP182" s="100"/>
    </row>
    <row r="183" spans="1:94" ht="13">
      <c r="A183" s="96"/>
      <c r="B183" s="96"/>
      <c r="C183" s="96"/>
      <c r="D183" s="96"/>
      <c r="E183" s="96"/>
      <c r="F183" s="96"/>
      <c r="G183" s="101"/>
      <c r="H183" s="97"/>
      <c r="I183" s="96"/>
      <c r="J183" s="96"/>
      <c r="K183" s="96"/>
      <c r="L183" s="96"/>
      <c r="M183" s="96"/>
      <c r="N183" s="96"/>
      <c r="O183" s="96"/>
      <c r="P183" s="96"/>
      <c r="Q183" s="98"/>
      <c r="S183" s="96"/>
      <c r="X183" s="96"/>
      <c r="AI183" s="96"/>
      <c r="AJ183" s="96"/>
      <c r="AK183" s="96"/>
      <c r="AL183" s="96"/>
      <c r="AS183" s="96"/>
      <c r="AT183" s="96"/>
      <c r="AU183" s="96"/>
      <c r="BA183" s="96"/>
      <c r="BB183" s="96"/>
      <c r="BC183" s="96"/>
      <c r="BD183" s="96"/>
      <c r="BE183" s="96"/>
      <c r="BI183" s="96"/>
      <c r="BJ183" s="96"/>
      <c r="BK183" s="96"/>
      <c r="BL183" s="96"/>
      <c r="BM183" s="96"/>
      <c r="BO183" s="96"/>
      <c r="BQ183" s="96"/>
      <c r="BR183" s="96"/>
      <c r="BS183" s="96"/>
      <c r="BT183" s="96"/>
      <c r="BU183" s="96"/>
      <c r="BV183" s="99"/>
      <c r="BW183" s="99"/>
      <c r="BX183" s="96"/>
      <c r="BY183" s="96"/>
      <c r="BZ183" s="99"/>
      <c r="CA183" s="96"/>
      <c r="CB183" s="96"/>
      <c r="CC183" s="96"/>
      <c r="CD183" s="96"/>
      <c r="CE183" s="96"/>
      <c r="CI183" s="100"/>
      <c r="CJ183" s="100"/>
      <c r="CK183" s="100"/>
      <c r="CL183" s="100"/>
      <c r="CM183" s="100"/>
      <c r="CN183" s="100"/>
      <c r="CO183" s="100"/>
      <c r="CP183" s="100"/>
    </row>
    <row r="184" spans="1:94" ht="13">
      <c r="A184" s="96"/>
      <c r="B184" s="96"/>
      <c r="C184" s="96"/>
      <c r="D184" s="96"/>
      <c r="E184" s="96"/>
      <c r="F184" s="96"/>
      <c r="G184" s="101"/>
      <c r="H184" s="97"/>
      <c r="I184" s="96"/>
      <c r="J184" s="96"/>
      <c r="K184" s="96"/>
      <c r="L184" s="96"/>
      <c r="M184" s="96"/>
      <c r="N184" s="96"/>
      <c r="O184" s="96"/>
      <c r="P184" s="96"/>
      <c r="Q184" s="98"/>
      <c r="S184" s="96"/>
      <c r="X184" s="96"/>
      <c r="AI184" s="96"/>
      <c r="AJ184" s="96"/>
      <c r="AK184" s="96"/>
      <c r="AL184" s="96"/>
      <c r="AS184" s="96"/>
      <c r="AT184" s="96"/>
      <c r="AU184" s="96"/>
      <c r="BA184" s="96"/>
      <c r="BB184" s="96"/>
      <c r="BC184" s="96"/>
      <c r="BD184" s="96"/>
      <c r="BE184" s="96"/>
      <c r="BI184" s="96"/>
      <c r="BJ184" s="96"/>
      <c r="BK184" s="96"/>
      <c r="BL184" s="96"/>
      <c r="BM184" s="96"/>
      <c r="BO184" s="96"/>
      <c r="BQ184" s="96"/>
      <c r="BR184" s="96"/>
      <c r="BS184" s="96"/>
      <c r="BT184" s="96"/>
      <c r="BU184" s="96"/>
      <c r="BV184" s="99"/>
      <c r="BW184" s="99"/>
      <c r="BX184" s="96"/>
      <c r="BY184" s="96"/>
      <c r="BZ184" s="99"/>
      <c r="CA184" s="96"/>
      <c r="CB184" s="96"/>
      <c r="CC184" s="96"/>
      <c r="CD184" s="96"/>
      <c r="CE184" s="96"/>
      <c r="CI184" s="100"/>
      <c r="CJ184" s="100"/>
      <c r="CK184" s="100"/>
      <c r="CL184" s="100"/>
      <c r="CM184" s="100"/>
      <c r="CN184" s="100"/>
      <c r="CO184" s="100"/>
      <c r="CP184" s="100"/>
    </row>
    <row r="185" spans="1:94" ht="13">
      <c r="A185" s="96"/>
      <c r="B185" s="96"/>
      <c r="C185" s="96"/>
      <c r="D185" s="96"/>
      <c r="E185" s="96"/>
      <c r="F185" s="96"/>
      <c r="G185" s="101"/>
      <c r="H185" s="97"/>
      <c r="I185" s="96"/>
      <c r="J185" s="96"/>
      <c r="K185" s="96"/>
      <c r="L185" s="96"/>
      <c r="M185" s="96"/>
      <c r="N185" s="96"/>
      <c r="O185" s="96"/>
      <c r="P185" s="96"/>
      <c r="Q185" s="98"/>
      <c r="S185" s="96"/>
      <c r="X185" s="96"/>
      <c r="AI185" s="96"/>
      <c r="AJ185" s="96"/>
      <c r="AK185" s="96"/>
      <c r="AL185" s="96"/>
      <c r="AS185" s="96"/>
      <c r="AT185" s="96"/>
      <c r="AU185" s="96"/>
      <c r="BA185" s="96"/>
      <c r="BB185" s="96"/>
      <c r="BC185" s="96"/>
      <c r="BD185" s="96"/>
      <c r="BE185" s="96"/>
      <c r="BI185" s="96"/>
      <c r="BJ185" s="96"/>
      <c r="BK185" s="96"/>
      <c r="BL185" s="96"/>
      <c r="BM185" s="96"/>
      <c r="BO185" s="96"/>
      <c r="BQ185" s="96"/>
      <c r="BR185" s="96"/>
      <c r="BS185" s="96"/>
      <c r="BT185" s="96"/>
      <c r="BU185" s="96"/>
      <c r="BV185" s="99"/>
      <c r="BW185" s="99"/>
      <c r="BX185" s="96"/>
      <c r="BY185" s="96"/>
      <c r="BZ185" s="99"/>
      <c r="CA185" s="96"/>
      <c r="CB185" s="96"/>
      <c r="CC185" s="96"/>
      <c r="CD185" s="96"/>
      <c r="CE185" s="96"/>
      <c r="CI185" s="100"/>
      <c r="CJ185" s="100"/>
      <c r="CK185" s="100"/>
      <c r="CL185" s="100"/>
      <c r="CM185" s="100"/>
      <c r="CN185" s="100"/>
      <c r="CO185" s="100"/>
      <c r="CP185" s="100"/>
    </row>
    <row r="186" spans="1:94" ht="13">
      <c r="A186" s="96"/>
      <c r="B186" s="96"/>
      <c r="C186" s="96"/>
      <c r="D186" s="96"/>
      <c r="E186" s="96"/>
      <c r="F186" s="96"/>
      <c r="G186" s="101"/>
      <c r="H186" s="97"/>
      <c r="I186" s="96"/>
      <c r="J186" s="96"/>
      <c r="K186" s="96"/>
      <c r="L186" s="96"/>
      <c r="M186" s="96"/>
      <c r="N186" s="96"/>
      <c r="O186" s="96"/>
      <c r="P186" s="96"/>
      <c r="Q186" s="98"/>
      <c r="S186" s="96"/>
      <c r="X186" s="96"/>
      <c r="AI186" s="96"/>
      <c r="AJ186" s="96"/>
      <c r="AK186" s="96"/>
      <c r="AL186" s="96"/>
      <c r="AS186" s="96"/>
      <c r="AT186" s="96"/>
      <c r="AU186" s="96"/>
      <c r="BA186" s="96"/>
      <c r="BB186" s="96"/>
      <c r="BC186" s="96"/>
      <c r="BD186" s="96"/>
      <c r="BE186" s="96"/>
      <c r="BI186" s="96"/>
      <c r="BJ186" s="96"/>
      <c r="BK186" s="96"/>
      <c r="BL186" s="96"/>
      <c r="BM186" s="96"/>
      <c r="BO186" s="96"/>
      <c r="BQ186" s="96"/>
      <c r="BR186" s="96"/>
      <c r="BS186" s="96"/>
      <c r="BT186" s="96"/>
      <c r="BU186" s="96"/>
      <c r="BV186" s="99"/>
      <c r="BW186" s="99"/>
      <c r="BX186" s="96"/>
      <c r="BY186" s="96"/>
      <c r="BZ186" s="99"/>
      <c r="CA186" s="96"/>
      <c r="CB186" s="96"/>
      <c r="CC186" s="96"/>
      <c r="CD186" s="96"/>
      <c r="CE186" s="96"/>
      <c r="CI186" s="100"/>
      <c r="CJ186" s="100"/>
      <c r="CK186" s="100"/>
      <c r="CL186" s="100"/>
      <c r="CM186" s="100"/>
      <c r="CN186" s="100"/>
      <c r="CO186" s="100"/>
      <c r="CP186" s="100"/>
    </row>
    <row r="187" spans="1:94" ht="13">
      <c r="A187" s="96"/>
      <c r="B187" s="96"/>
      <c r="C187" s="96"/>
      <c r="D187" s="96"/>
      <c r="E187" s="96"/>
      <c r="F187" s="96"/>
      <c r="G187" s="101"/>
      <c r="H187" s="97"/>
      <c r="I187" s="96"/>
      <c r="J187" s="96"/>
      <c r="K187" s="96"/>
      <c r="L187" s="96"/>
      <c r="M187" s="96"/>
      <c r="N187" s="96"/>
      <c r="O187" s="96"/>
      <c r="P187" s="96"/>
      <c r="Q187" s="98"/>
      <c r="S187" s="96"/>
      <c r="X187" s="96"/>
      <c r="AI187" s="96"/>
      <c r="AJ187" s="96"/>
      <c r="AK187" s="96"/>
      <c r="AL187" s="96"/>
      <c r="AS187" s="96"/>
      <c r="AT187" s="96"/>
      <c r="AU187" s="96"/>
      <c r="BA187" s="96"/>
      <c r="BB187" s="96"/>
      <c r="BC187" s="96"/>
      <c r="BD187" s="96"/>
      <c r="BE187" s="96"/>
      <c r="BI187" s="96"/>
      <c r="BJ187" s="96"/>
      <c r="BK187" s="96"/>
      <c r="BL187" s="96"/>
      <c r="BM187" s="96"/>
      <c r="BO187" s="96"/>
      <c r="BQ187" s="96"/>
      <c r="BR187" s="96"/>
      <c r="BS187" s="96"/>
      <c r="BT187" s="96"/>
      <c r="BU187" s="96"/>
      <c r="BV187" s="99"/>
      <c r="BW187" s="99"/>
      <c r="BX187" s="96"/>
      <c r="BY187" s="96"/>
      <c r="BZ187" s="99"/>
      <c r="CA187" s="96"/>
      <c r="CB187" s="96"/>
      <c r="CC187" s="96"/>
      <c r="CD187" s="96"/>
      <c r="CE187" s="96"/>
      <c r="CI187" s="100"/>
      <c r="CJ187" s="100"/>
      <c r="CK187" s="100"/>
      <c r="CL187" s="100"/>
      <c r="CM187" s="100"/>
      <c r="CN187" s="100"/>
      <c r="CO187" s="100"/>
      <c r="CP187" s="100"/>
    </row>
    <row r="188" spans="1:94" ht="13">
      <c r="A188" s="96"/>
      <c r="B188" s="96"/>
      <c r="C188" s="96"/>
      <c r="D188" s="96"/>
      <c r="E188" s="96"/>
      <c r="F188" s="96"/>
      <c r="G188" s="101"/>
      <c r="H188" s="97"/>
      <c r="I188" s="96"/>
      <c r="J188" s="96"/>
      <c r="K188" s="96"/>
      <c r="L188" s="96"/>
      <c r="M188" s="96"/>
      <c r="N188" s="96"/>
      <c r="O188" s="96"/>
      <c r="P188" s="96"/>
      <c r="Q188" s="98"/>
      <c r="S188" s="96"/>
      <c r="X188" s="96"/>
      <c r="AI188" s="96"/>
      <c r="AJ188" s="96"/>
      <c r="AK188" s="96"/>
      <c r="AL188" s="96"/>
      <c r="AS188" s="96"/>
      <c r="AT188" s="96"/>
      <c r="AU188" s="96"/>
      <c r="BA188" s="96"/>
      <c r="BB188" s="96"/>
      <c r="BC188" s="96"/>
      <c r="BD188" s="96"/>
      <c r="BE188" s="96"/>
      <c r="BI188" s="96"/>
      <c r="BJ188" s="96"/>
      <c r="BK188" s="96"/>
      <c r="BL188" s="96"/>
      <c r="BM188" s="96"/>
      <c r="BO188" s="96"/>
      <c r="BQ188" s="96"/>
      <c r="BR188" s="96"/>
      <c r="BS188" s="96"/>
      <c r="BT188" s="96"/>
      <c r="BU188" s="96"/>
      <c r="BV188" s="99"/>
      <c r="BW188" s="99"/>
      <c r="BX188" s="96"/>
      <c r="BY188" s="96"/>
      <c r="BZ188" s="99"/>
      <c r="CA188" s="96"/>
      <c r="CB188" s="96"/>
      <c r="CC188" s="96"/>
      <c r="CD188" s="96"/>
      <c r="CE188" s="96"/>
      <c r="CI188" s="100"/>
      <c r="CJ188" s="100"/>
      <c r="CK188" s="100"/>
      <c r="CL188" s="100"/>
      <c r="CM188" s="100"/>
      <c r="CN188" s="100"/>
      <c r="CO188" s="100"/>
      <c r="CP188" s="100"/>
    </row>
    <row r="189" spans="1:94" ht="13">
      <c r="A189" s="96"/>
      <c r="B189" s="96"/>
      <c r="C189" s="96"/>
      <c r="D189" s="96"/>
      <c r="E189" s="96"/>
      <c r="F189" s="96"/>
      <c r="G189" s="101"/>
      <c r="H189" s="97"/>
      <c r="I189" s="96"/>
      <c r="J189" s="96"/>
      <c r="K189" s="96"/>
      <c r="L189" s="96"/>
      <c r="M189" s="96"/>
      <c r="N189" s="96"/>
      <c r="O189" s="96"/>
      <c r="P189" s="96"/>
      <c r="Q189" s="98"/>
      <c r="S189" s="96"/>
      <c r="X189" s="96"/>
      <c r="AI189" s="96"/>
      <c r="AJ189" s="96"/>
      <c r="AK189" s="96"/>
      <c r="AL189" s="96"/>
      <c r="AS189" s="96"/>
      <c r="AT189" s="96"/>
      <c r="AU189" s="96"/>
      <c r="BA189" s="96"/>
      <c r="BB189" s="96"/>
      <c r="BC189" s="96"/>
      <c r="BD189" s="96"/>
      <c r="BE189" s="96"/>
      <c r="BI189" s="96"/>
      <c r="BJ189" s="96"/>
      <c r="BK189" s="96"/>
      <c r="BL189" s="96"/>
      <c r="BM189" s="96"/>
      <c r="BO189" s="96"/>
      <c r="BQ189" s="96"/>
      <c r="BR189" s="96"/>
      <c r="BS189" s="96"/>
      <c r="BT189" s="96"/>
      <c r="BU189" s="96"/>
      <c r="BV189" s="99"/>
      <c r="BW189" s="99"/>
      <c r="BX189" s="96"/>
      <c r="BY189" s="96"/>
      <c r="BZ189" s="99"/>
      <c r="CA189" s="96"/>
      <c r="CB189" s="96"/>
      <c r="CC189" s="96"/>
      <c r="CD189" s="96"/>
      <c r="CE189" s="96"/>
      <c r="CI189" s="100"/>
      <c r="CJ189" s="100"/>
      <c r="CK189" s="100"/>
      <c r="CL189" s="100"/>
      <c r="CM189" s="100"/>
      <c r="CN189" s="100"/>
      <c r="CO189" s="100"/>
      <c r="CP189" s="100"/>
    </row>
    <row r="190" spans="1:94" ht="13">
      <c r="A190" s="96"/>
      <c r="B190" s="96"/>
      <c r="C190" s="96"/>
      <c r="D190" s="96"/>
      <c r="E190" s="96"/>
      <c r="F190" s="96"/>
      <c r="G190" s="101"/>
      <c r="H190" s="97"/>
      <c r="I190" s="96"/>
      <c r="J190" s="96"/>
      <c r="K190" s="96"/>
      <c r="L190" s="96"/>
      <c r="M190" s="96"/>
      <c r="N190" s="96"/>
      <c r="O190" s="96"/>
      <c r="P190" s="96"/>
      <c r="Q190" s="98"/>
      <c r="S190" s="96"/>
      <c r="X190" s="96"/>
      <c r="AI190" s="96"/>
      <c r="AJ190" s="96"/>
      <c r="AK190" s="96"/>
      <c r="AL190" s="96"/>
      <c r="AS190" s="96"/>
      <c r="AT190" s="96"/>
      <c r="AU190" s="96"/>
      <c r="BA190" s="96"/>
      <c r="BB190" s="96"/>
      <c r="BC190" s="96"/>
      <c r="BD190" s="96"/>
      <c r="BE190" s="96"/>
      <c r="BI190" s="96"/>
      <c r="BJ190" s="96"/>
      <c r="BK190" s="96"/>
      <c r="BL190" s="96"/>
      <c r="BM190" s="96"/>
      <c r="BO190" s="96"/>
      <c r="BQ190" s="96"/>
      <c r="BR190" s="96"/>
      <c r="BS190" s="96"/>
      <c r="BT190" s="96"/>
      <c r="BU190" s="96"/>
      <c r="BV190" s="99"/>
      <c r="BW190" s="99"/>
      <c r="BX190" s="96"/>
      <c r="BY190" s="96"/>
      <c r="BZ190" s="99"/>
      <c r="CA190" s="96"/>
      <c r="CB190" s="96"/>
      <c r="CC190" s="96"/>
      <c r="CD190" s="96"/>
      <c r="CE190" s="96"/>
      <c r="CI190" s="100"/>
      <c r="CJ190" s="100"/>
      <c r="CK190" s="100"/>
      <c r="CL190" s="100"/>
      <c r="CM190" s="100"/>
      <c r="CN190" s="100"/>
      <c r="CO190" s="100"/>
      <c r="CP190" s="100"/>
    </row>
    <row r="191" spans="1:94" ht="13">
      <c r="A191" s="96"/>
      <c r="B191" s="96"/>
      <c r="C191" s="96"/>
      <c r="D191" s="96"/>
      <c r="E191" s="96"/>
      <c r="F191" s="96"/>
      <c r="G191" s="101"/>
      <c r="H191" s="97"/>
      <c r="I191" s="96"/>
      <c r="J191" s="96"/>
      <c r="K191" s="96"/>
      <c r="L191" s="96"/>
      <c r="M191" s="96"/>
      <c r="N191" s="96"/>
      <c r="O191" s="96"/>
      <c r="P191" s="96"/>
      <c r="Q191" s="98"/>
      <c r="S191" s="96"/>
      <c r="X191" s="96"/>
      <c r="AI191" s="96"/>
      <c r="AJ191" s="96"/>
      <c r="AK191" s="96"/>
      <c r="AL191" s="96"/>
      <c r="AS191" s="96"/>
      <c r="AT191" s="96"/>
      <c r="AU191" s="96"/>
      <c r="BA191" s="96"/>
      <c r="BB191" s="96"/>
      <c r="BC191" s="96"/>
      <c r="BD191" s="96"/>
      <c r="BE191" s="96"/>
      <c r="BI191" s="96"/>
      <c r="BJ191" s="96"/>
      <c r="BK191" s="96"/>
      <c r="BL191" s="96"/>
      <c r="BM191" s="96"/>
      <c r="BO191" s="96"/>
      <c r="BQ191" s="96"/>
      <c r="BR191" s="96"/>
      <c r="BS191" s="96"/>
      <c r="BT191" s="96"/>
      <c r="BU191" s="96"/>
      <c r="BV191" s="99"/>
      <c r="BW191" s="99"/>
      <c r="BX191" s="96"/>
      <c r="BY191" s="96"/>
      <c r="BZ191" s="99"/>
      <c r="CA191" s="96"/>
      <c r="CB191" s="96"/>
      <c r="CC191" s="96"/>
      <c r="CD191" s="96"/>
      <c r="CE191" s="96"/>
      <c r="CI191" s="100"/>
      <c r="CJ191" s="100"/>
      <c r="CK191" s="100"/>
      <c r="CL191" s="100"/>
      <c r="CM191" s="100"/>
      <c r="CN191" s="100"/>
      <c r="CO191" s="100"/>
      <c r="CP191" s="100"/>
    </row>
    <row r="192" spans="1:94" ht="13">
      <c r="A192" s="96"/>
      <c r="B192" s="96"/>
      <c r="C192" s="96"/>
      <c r="D192" s="96"/>
      <c r="E192" s="96"/>
      <c r="F192" s="96"/>
      <c r="G192" s="101"/>
      <c r="H192" s="97"/>
      <c r="I192" s="96"/>
      <c r="J192" s="96"/>
      <c r="K192" s="96"/>
      <c r="L192" s="96"/>
      <c r="M192" s="96"/>
      <c r="N192" s="96"/>
      <c r="O192" s="96"/>
      <c r="P192" s="96"/>
      <c r="Q192" s="98"/>
      <c r="S192" s="96"/>
      <c r="X192" s="96"/>
      <c r="AI192" s="96"/>
      <c r="AJ192" s="96"/>
      <c r="AK192" s="96"/>
      <c r="AL192" s="96"/>
      <c r="AS192" s="96"/>
      <c r="AT192" s="96"/>
      <c r="AU192" s="96"/>
      <c r="BA192" s="96"/>
      <c r="BB192" s="96"/>
      <c r="BC192" s="96"/>
      <c r="BD192" s="96"/>
      <c r="BE192" s="96"/>
      <c r="BI192" s="96"/>
      <c r="BJ192" s="96"/>
      <c r="BK192" s="96"/>
      <c r="BL192" s="96"/>
      <c r="BM192" s="96"/>
      <c r="BO192" s="96"/>
      <c r="BQ192" s="96"/>
      <c r="BR192" s="96"/>
      <c r="BS192" s="96"/>
      <c r="BT192" s="96"/>
      <c r="BU192" s="96"/>
      <c r="BV192" s="99"/>
      <c r="BW192" s="99"/>
      <c r="BX192" s="96"/>
      <c r="BY192" s="96"/>
      <c r="BZ192" s="99"/>
      <c r="CA192" s="96"/>
      <c r="CB192" s="96"/>
      <c r="CC192" s="96"/>
      <c r="CD192" s="96"/>
      <c r="CE192" s="96"/>
      <c r="CI192" s="100"/>
      <c r="CJ192" s="100"/>
      <c r="CK192" s="100"/>
      <c r="CL192" s="100"/>
      <c r="CM192" s="100"/>
      <c r="CN192" s="100"/>
      <c r="CO192" s="100"/>
      <c r="CP192" s="100"/>
    </row>
    <row r="193" spans="1:94" ht="13">
      <c r="A193" s="96"/>
      <c r="B193" s="96"/>
      <c r="C193" s="96"/>
      <c r="D193" s="96"/>
      <c r="E193" s="96"/>
      <c r="F193" s="96"/>
      <c r="G193" s="101"/>
      <c r="H193" s="97"/>
      <c r="I193" s="96"/>
      <c r="J193" s="96"/>
      <c r="K193" s="96"/>
      <c r="L193" s="96"/>
      <c r="M193" s="96"/>
      <c r="N193" s="96"/>
      <c r="O193" s="96"/>
      <c r="P193" s="96"/>
      <c r="Q193" s="98"/>
      <c r="S193" s="96"/>
      <c r="X193" s="96"/>
      <c r="AI193" s="96"/>
      <c r="AJ193" s="96"/>
      <c r="AK193" s="96"/>
      <c r="AL193" s="96"/>
      <c r="AS193" s="96"/>
      <c r="AT193" s="96"/>
      <c r="AU193" s="96"/>
      <c r="BA193" s="96"/>
      <c r="BB193" s="96"/>
      <c r="BC193" s="96"/>
      <c r="BD193" s="96"/>
      <c r="BE193" s="96"/>
      <c r="BI193" s="96"/>
      <c r="BJ193" s="96"/>
      <c r="BK193" s="96"/>
      <c r="BL193" s="96"/>
      <c r="BM193" s="96"/>
      <c r="BO193" s="96"/>
      <c r="BQ193" s="96"/>
      <c r="BR193" s="96"/>
      <c r="BS193" s="96"/>
      <c r="BT193" s="96"/>
      <c r="BU193" s="96"/>
      <c r="BV193" s="99"/>
      <c r="BW193" s="99"/>
      <c r="BX193" s="96"/>
      <c r="BY193" s="96"/>
      <c r="BZ193" s="99"/>
      <c r="CA193" s="96"/>
      <c r="CB193" s="96"/>
      <c r="CC193" s="96"/>
      <c r="CD193" s="96"/>
      <c r="CE193" s="96"/>
      <c r="CI193" s="100"/>
      <c r="CJ193" s="100"/>
      <c r="CK193" s="100"/>
      <c r="CL193" s="100"/>
      <c r="CM193" s="100"/>
      <c r="CN193" s="100"/>
      <c r="CO193" s="100"/>
      <c r="CP193" s="100"/>
    </row>
    <row r="194" spans="1:94" ht="13">
      <c r="A194" s="96"/>
      <c r="B194" s="96"/>
      <c r="C194" s="96"/>
      <c r="D194" s="96"/>
      <c r="E194" s="96"/>
      <c r="F194" s="96"/>
      <c r="G194" s="101"/>
      <c r="H194" s="97"/>
      <c r="I194" s="96"/>
      <c r="J194" s="96"/>
      <c r="K194" s="96"/>
      <c r="L194" s="96"/>
      <c r="M194" s="96"/>
      <c r="N194" s="96"/>
      <c r="O194" s="96"/>
      <c r="P194" s="96"/>
      <c r="Q194" s="98"/>
      <c r="S194" s="96"/>
      <c r="X194" s="96"/>
      <c r="AI194" s="96"/>
      <c r="AJ194" s="96"/>
      <c r="AK194" s="96"/>
      <c r="AL194" s="96"/>
      <c r="AS194" s="96"/>
      <c r="AT194" s="96"/>
      <c r="AU194" s="96"/>
      <c r="BA194" s="96"/>
      <c r="BB194" s="96"/>
      <c r="BC194" s="96"/>
      <c r="BD194" s="96"/>
      <c r="BE194" s="96"/>
      <c r="BI194" s="96"/>
      <c r="BJ194" s="96"/>
      <c r="BK194" s="96"/>
      <c r="BL194" s="96"/>
      <c r="BM194" s="96"/>
      <c r="BO194" s="96"/>
      <c r="BQ194" s="96"/>
      <c r="BR194" s="96"/>
      <c r="BS194" s="96"/>
      <c r="BT194" s="96"/>
      <c r="BU194" s="96"/>
      <c r="BV194" s="99"/>
      <c r="BW194" s="99"/>
      <c r="BX194" s="96"/>
      <c r="BY194" s="96"/>
      <c r="BZ194" s="99"/>
      <c r="CA194" s="96"/>
      <c r="CB194" s="96"/>
      <c r="CC194" s="96"/>
      <c r="CD194" s="96"/>
      <c r="CE194" s="96"/>
      <c r="CI194" s="100"/>
      <c r="CJ194" s="100"/>
      <c r="CK194" s="100"/>
      <c r="CL194" s="100"/>
      <c r="CM194" s="100"/>
      <c r="CN194" s="100"/>
      <c r="CO194" s="100"/>
      <c r="CP194" s="100"/>
    </row>
    <row r="195" spans="1:94" ht="13">
      <c r="A195" s="96"/>
      <c r="B195" s="96"/>
      <c r="C195" s="96"/>
      <c r="D195" s="96"/>
      <c r="E195" s="96"/>
      <c r="F195" s="96"/>
      <c r="G195" s="101"/>
      <c r="H195" s="97"/>
      <c r="I195" s="96"/>
      <c r="J195" s="96"/>
      <c r="K195" s="96"/>
      <c r="L195" s="96"/>
      <c r="M195" s="96"/>
      <c r="N195" s="96"/>
      <c r="O195" s="96"/>
      <c r="P195" s="96"/>
      <c r="Q195" s="98"/>
      <c r="S195" s="96"/>
      <c r="X195" s="96"/>
      <c r="AI195" s="96"/>
      <c r="AJ195" s="96"/>
      <c r="AK195" s="96"/>
      <c r="AL195" s="96"/>
      <c r="AS195" s="96"/>
      <c r="AT195" s="96"/>
      <c r="AU195" s="96"/>
      <c r="BA195" s="96"/>
      <c r="BB195" s="96"/>
      <c r="BC195" s="96"/>
      <c r="BD195" s="96"/>
      <c r="BE195" s="96"/>
      <c r="BI195" s="96"/>
      <c r="BJ195" s="96"/>
      <c r="BK195" s="96"/>
      <c r="BL195" s="96"/>
      <c r="BM195" s="96"/>
      <c r="BO195" s="96"/>
      <c r="BQ195" s="96"/>
      <c r="BR195" s="96"/>
      <c r="BS195" s="96"/>
      <c r="BT195" s="96"/>
      <c r="BU195" s="96"/>
      <c r="BV195" s="99"/>
      <c r="BW195" s="99"/>
      <c r="BX195" s="96"/>
      <c r="BY195" s="96"/>
      <c r="BZ195" s="99"/>
      <c r="CA195" s="96"/>
      <c r="CB195" s="96"/>
      <c r="CC195" s="96"/>
      <c r="CD195" s="96"/>
      <c r="CE195" s="96"/>
      <c r="CI195" s="100"/>
      <c r="CJ195" s="100"/>
      <c r="CK195" s="100"/>
      <c r="CL195" s="100"/>
      <c r="CM195" s="100"/>
      <c r="CN195" s="100"/>
      <c r="CO195" s="100"/>
      <c r="CP195" s="100"/>
    </row>
    <row r="196" spans="1:94" ht="13">
      <c r="A196" s="96"/>
      <c r="B196" s="96"/>
      <c r="C196" s="96"/>
      <c r="D196" s="96"/>
      <c r="E196" s="96"/>
      <c r="F196" s="96"/>
      <c r="G196" s="101"/>
      <c r="H196" s="97"/>
      <c r="I196" s="96"/>
      <c r="J196" s="96"/>
      <c r="K196" s="96"/>
      <c r="L196" s="96"/>
      <c r="M196" s="96"/>
      <c r="N196" s="96"/>
      <c r="O196" s="96"/>
      <c r="P196" s="96"/>
      <c r="Q196" s="98"/>
      <c r="S196" s="96"/>
      <c r="X196" s="96"/>
      <c r="AI196" s="96"/>
      <c r="AJ196" s="96"/>
      <c r="AK196" s="96"/>
      <c r="AL196" s="96"/>
      <c r="AS196" s="96"/>
      <c r="AT196" s="96"/>
      <c r="AU196" s="96"/>
      <c r="BA196" s="96"/>
      <c r="BB196" s="96"/>
      <c r="BC196" s="96"/>
      <c r="BD196" s="96"/>
      <c r="BE196" s="96"/>
      <c r="BI196" s="96"/>
      <c r="BJ196" s="96"/>
      <c r="BK196" s="96"/>
      <c r="BL196" s="96"/>
      <c r="BM196" s="96"/>
      <c r="BO196" s="96"/>
      <c r="BQ196" s="96"/>
      <c r="BR196" s="96"/>
      <c r="BS196" s="96"/>
      <c r="BT196" s="96"/>
      <c r="BU196" s="96"/>
      <c r="BV196" s="99"/>
      <c r="BW196" s="99"/>
      <c r="BX196" s="96"/>
      <c r="BY196" s="96"/>
      <c r="BZ196" s="99"/>
      <c r="CA196" s="96"/>
      <c r="CB196" s="96"/>
      <c r="CC196" s="96"/>
      <c r="CD196" s="96"/>
      <c r="CE196" s="96"/>
      <c r="CI196" s="100"/>
      <c r="CJ196" s="100"/>
      <c r="CK196" s="100"/>
      <c r="CL196" s="100"/>
      <c r="CM196" s="100"/>
      <c r="CN196" s="100"/>
      <c r="CO196" s="100"/>
      <c r="CP196" s="100"/>
    </row>
    <row r="197" spans="1:94" ht="13">
      <c r="A197" s="96"/>
      <c r="B197" s="96"/>
      <c r="C197" s="96"/>
      <c r="D197" s="96"/>
      <c r="E197" s="96"/>
      <c r="F197" s="96"/>
      <c r="G197" s="101"/>
      <c r="H197" s="97"/>
      <c r="I197" s="96"/>
      <c r="J197" s="96"/>
      <c r="K197" s="96"/>
      <c r="L197" s="96"/>
      <c r="M197" s="96"/>
      <c r="N197" s="96"/>
      <c r="O197" s="96"/>
      <c r="P197" s="96"/>
      <c r="Q197" s="98"/>
      <c r="S197" s="96"/>
      <c r="X197" s="96"/>
      <c r="AI197" s="96"/>
      <c r="AJ197" s="96"/>
      <c r="AK197" s="96"/>
      <c r="AL197" s="96"/>
      <c r="AS197" s="96"/>
      <c r="AT197" s="96"/>
      <c r="AU197" s="96"/>
      <c r="BA197" s="96"/>
      <c r="BB197" s="96"/>
      <c r="BC197" s="96"/>
      <c r="BD197" s="96"/>
      <c r="BE197" s="96"/>
      <c r="BI197" s="96"/>
      <c r="BJ197" s="96"/>
      <c r="BK197" s="96"/>
      <c r="BL197" s="96"/>
      <c r="BM197" s="96"/>
      <c r="BO197" s="96"/>
      <c r="BQ197" s="96"/>
      <c r="BR197" s="96"/>
      <c r="BS197" s="96"/>
      <c r="BT197" s="96"/>
      <c r="BU197" s="96"/>
      <c r="BV197" s="99"/>
      <c r="BW197" s="99"/>
      <c r="BX197" s="96"/>
      <c r="BY197" s="96"/>
      <c r="BZ197" s="99"/>
      <c r="CA197" s="96"/>
      <c r="CB197" s="96"/>
      <c r="CC197" s="96"/>
      <c r="CD197" s="96"/>
      <c r="CE197" s="96"/>
      <c r="CI197" s="100"/>
      <c r="CJ197" s="100"/>
      <c r="CK197" s="100"/>
      <c r="CL197" s="100"/>
      <c r="CM197" s="100"/>
      <c r="CN197" s="100"/>
      <c r="CO197" s="100"/>
      <c r="CP197" s="100"/>
    </row>
    <row r="198" spans="1:94" ht="13">
      <c r="A198" s="96"/>
      <c r="B198" s="96"/>
      <c r="C198" s="96"/>
      <c r="D198" s="96"/>
      <c r="E198" s="96"/>
      <c r="F198" s="96"/>
      <c r="G198" s="101"/>
      <c r="H198" s="97"/>
      <c r="I198" s="96"/>
      <c r="J198" s="96"/>
      <c r="K198" s="96"/>
      <c r="L198" s="96"/>
      <c r="M198" s="96"/>
      <c r="N198" s="96"/>
      <c r="O198" s="96"/>
      <c r="P198" s="96"/>
      <c r="Q198" s="98"/>
      <c r="S198" s="96"/>
      <c r="X198" s="96"/>
      <c r="AI198" s="96"/>
      <c r="AJ198" s="96"/>
      <c r="AK198" s="96"/>
      <c r="AL198" s="96"/>
      <c r="AS198" s="96"/>
      <c r="AT198" s="96"/>
      <c r="AU198" s="96"/>
      <c r="BA198" s="96"/>
      <c r="BB198" s="96"/>
      <c r="BC198" s="96"/>
      <c r="BD198" s="96"/>
      <c r="BE198" s="96"/>
      <c r="BI198" s="96"/>
      <c r="BJ198" s="96"/>
      <c r="BK198" s="96"/>
      <c r="BL198" s="96"/>
      <c r="BM198" s="96"/>
      <c r="BO198" s="96"/>
      <c r="BQ198" s="96"/>
      <c r="BR198" s="96"/>
      <c r="BS198" s="96"/>
      <c r="BT198" s="96"/>
      <c r="BU198" s="96"/>
      <c r="BV198" s="99"/>
      <c r="BW198" s="99"/>
      <c r="BX198" s="96"/>
      <c r="BY198" s="96"/>
      <c r="BZ198" s="99"/>
      <c r="CA198" s="96"/>
      <c r="CB198" s="96"/>
      <c r="CC198" s="96"/>
      <c r="CD198" s="96"/>
      <c r="CE198" s="96"/>
      <c r="CI198" s="100"/>
      <c r="CJ198" s="100"/>
      <c r="CK198" s="100"/>
      <c r="CL198" s="100"/>
      <c r="CM198" s="100"/>
      <c r="CN198" s="100"/>
      <c r="CO198" s="100"/>
      <c r="CP198" s="100"/>
    </row>
    <row r="199" spans="1:94" ht="13">
      <c r="A199" s="96"/>
      <c r="B199" s="96"/>
      <c r="C199" s="96"/>
      <c r="D199" s="96"/>
      <c r="E199" s="96"/>
      <c r="F199" s="96"/>
      <c r="G199" s="101"/>
      <c r="H199" s="97"/>
      <c r="I199" s="96"/>
      <c r="J199" s="96"/>
      <c r="K199" s="96"/>
      <c r="L199" s="96"/>
      <c r="M199" s="96"/>
      <c r="N199" s="96"/>
      <c r="O199" s="96"/>
      <c r="P199" s="96"/>
      <c r="Q199" s="98"/>
      <c r="S199" s="96"/>
      <c r="X199" s="96"/>
      <c r="AI199" s="96"/>
      <c r="AJ199" s="96"/>
      <c r="AK199" s="96"/>
      <c r="AL199" s="96"/>
      <c r="AS199" s="96"/>
      <c r="AT199" s="96"/>
      <c r="AU199" s="96"/>
      <c r="BA199" s="96"/>
      <c r="BB199" s="96"/>
      <c r="BC199" s="96"/>
      <c r="BD199" s="96"/>
      <c r="BE199" s="96"/>
      <c r="BI199" s="96"/>
      <c r="BJ199" s="96"/>
      <c r="BK199" s="96"/>
      <c r="BL199" s="96"/>
      <c r="BM199" s="96"/>
      <c r="BO199" s="96"/>
      <c r="BQ199" s="96"/>
      <c r="BR199" s="96"/>
      <c r="BS199" s="96"/>
      <c r="BT199" s="96"/>
      <c r="BU199" s="96"/>
      <c r="BV199" s="99"/>
      <c r="BW199" s="99"/>
      <c r="BX199" s="96"/>
      <c r="BY199" s="96"/>
      <c r="BZ199" s="99"/>
      <c r="CA199" s="96"/>
      <c r="CB199" s="96"/>
      <c r="CC199" s="96"/>
      <c r="CD199" s="96"/>
      <c r="CE199" s="96"/>
      <c r="CI199" s="100"/>
      <c r="CJ199" s="100"/>
      <c r="CK199" s="100"/>
      <c r="CL199" s="100"/>
      <c r="CM199" s="100"/>
      <c r="CN199" s="100"/>
      <c r="CO199" s="100"/>
      <c r="CP199" s="100"/>
    </row>
    <row r="200" spans="1:94" ht="13">
      <c r="A200" s="96"/>
      <c r="B200" s="96"/>
      <c r="C200" s="96"/>
      <c r="D200" s="96"/>
      <c r="E200" s="96"/>
      <c r="F200" s="96"/>
      <c r="G200" s="101"/>
      <c r="H200" s="97"/>
      <c r="I200" s="96"/>
      <c r="J200" s="96"/>
      <c r="K200" s="96"/>
      <c r="L200" s="96"/>
      <c r="M200" s="96"/>
      <c r="N200" s="96"/>
      <c r="O200" s="96"/>
      <c r="P200" s="96"/>
      <c r="Q200" s="98"/>
      <c r="S200" s="96"/>
      <c r="X200" s="96"/>
      <c r="AI200" s="96"/>
      <c r="AJ200" s="96"/>
      <c r="AK200" s="96"/>
      <c r="AL200" s="96"/>
      <c r="AS200" s="96"/>
      <c r="AT200" s="96"/>
      <c r="AU200" s="96"/>
      <c r="BA200" s="96"/>
      <c r="BB200" s="96"/>
      <c r="BC200" s="96"/>
      <c r="BD200" s="96"/>
      <c r="BE200" s="96"/>
      <c r="BI200" s="96"/>
      <c r="BJ200" s="96"/>
      <c r="BK200" s="96"/>
      <c r="BL200" s="96"/>
      <c r="BM200" s="96"/>
      <c r="BO200" s="96"/>
      <c r="BQ200" s="96"/>
      <c r="BR200" s="96"/>
      <c r="BS200" s="96"/>
      <c r="BT200" s="96"/>
      <c r="BU200" s="96"/>
      <c r="BV200" s="99"/>
      <c r="BW200" s="99"/>
      <c r="BX200" s="96"/>
      <c r="BY200" s="96"/>
      <c r="BZ200" s="99"/>
      <c r="CA200" s="96"/>
      <c r="CB200" s="96"/>
      <c r="CC200" s="96"/>
      <c r="CD200" s="96"/>
      <c r="CE200" s="96"/>
      <c r="CI200" s="100"/>
      <c r="CJ200" s="100"/>
      <c r="CK200" s="100"/>
      <c r="CL200" s="100"/>
      <c r="CM200" s="100"/>
      <c r="CN200" s="100"/>
      <c r="CO200" s="100"/>
      <c r="CP200" s="100"/>
    </row>
    <row r="201" spans="1:94" ht="13">
      <c r="A201" s="96"/>
      <c r="B201" s="96"/>
      <c r="C201" s="96"/>
      <c r="D201" s="96"/>
      <c r="E201" s="96"/>
      <c r="F201" s="96"/>
      <c r="G201" s="101"/>
      <c r="H201" s="97"/>
      <c r="I201" s="96"/>
      <c r="J201" s="96"/>
      <c r="K201" s="96"/>
      <c r="L201" s="96"/>
      <c r="M201" s="96"/>
      <c r="N201" s="96"/>
      <c r="O201" s="96"/>
      <c r="P201" s="96"/>
      <c r="Q201" s="98"/>
      <c r="S201" s="96"/>
      <c r="X201" s="96"/>
      <c r="AI201" s="96"/>
      <c r="AJ201" s="96"/>
      <c r="AK201" s="96"/>
      <c r="AL201" s="96"/>
      <c r="AS201" s="96"/>
      <c r="AT201" s="96"/>
      <c r="AU201" s="96"/>
      <c r="BA201" s="96"/>
      <c r="BB201" s="96"/>
      <c r="BC201" s="96"/>
      <c r="BD201" s="96"/>
      <c r="BE201" s="96"/>
      <c r="BI201" s="96"/>
      <c r="BJ201" s="96"/>
      <c r="BK201" s="96"/>
      <c r="BL201" s="96"/>
      <c r="BM201" s="96"/>
      <c r="BN201" s="102">
        <v>10</v>
      </c>
      <c r="BO201" s="96"/>
      <c r="BQ201" s="96"/>
      <c r="BR201" s="96"/>
      <c r="BS201" s="96"/>
      <c r="BT201" s="96"/>
      <c r="BU201" s="96"/>
      <c r="BV201" s="99"/>
      <c r="BW201" s="99"/>
      <c r="BX201" s="96"/>
      <c r="BY201" s="96"/>
      <c r="BZ201" s="99"/>
      <c r="CA201" s="96"/>
      <c r="CB201" s="96"/>
      <c r="CC201" s="96"/>
      <c r="CD201" s="96"/>
      <c r="CE201" s="96"/>
      <c r="CI201" s="100"/>
      <c r="CJ201" s="100"/>
      <c r="CK201" s="100"/>
      <c r="CL201" s="100"/>
      <c r="CM201" s="100"/>
      <c r="CN201" s="100"/>
      <c r="CO201" s="100"/>
      <c r="CP201" s="100"/>
    </row>
  </sheetData>
  <autoFilter ref="A3:CP92" xr:uid="{00000000-0009-0000-0000-000003000000}"/>
  <mergeCells count="49">
    <mergeCell ref="AH2:AH3"/>
    <mergeCell ref="K1:R1"/>
    <mergeCell ref="A1:H1"/>
    <mergeCell ref="Y2:Y3"/>
    <mergeCell ref="X2:X3"/>
    <mergeCell ref="Z2:Z3"/>
    <mergeCell ref="AG2:AG3"/>
    <mergeCell ref="AF2:AF3"/>
    <mergeCell ref="A90:H90"/>
    <mergeCell ref="A91:H91"/>
    <mergeCell ref="A92:H92"/>
    <mergeCell ref="F2:F3"/>
    <mergeCell ref="E2:E3"/>
    <mergeCell ref="B2:B3"/>
    <mergeCell ref="C2:C3"/>
    <mergeCell ref="D2:D3"/>
    <mergeCell ref="A2:A3"/>
    <mergeCell ref="R2:R3"/>
    <mergeCell ref="P2:P3"/>
    <mergeCell ref="I2:I3"/>
    <mergeCell ref="H2:H3"/>
    <mergeCell ref="G2:G3"/>
    <mergeCell ref="Q2:Q3"/>
    <mergeCell ref="J2:J3"/>
    <mergeCell ref="AN2:AN3"/>
    <mergeCell ref="BY2:BY3"/>
    <mergeCell ref="CG2:CG3"/>
    <mergeCell ref="CF2:CF3"/>
    <mergeCell ref="BZ2:BZ3"/>
    <mergeCell ref="AO2:AO3"/>
    <mergeCell ref="AP2:AP3"/>
    <mergeCell ref="AQ2:AQ3"/>
    <mergeCell ref="AR2:AR3"/>
    <mergeCell ref="AX2:AX3"/>
    <mergeCell ref="AY2:AY3"/>
    <mergeCell ref="BH2:BH3"/>
    <mergeCell ref="BN2:BN3"/>
    <mergeCell ref="BP2:BP3"/>
    <mergeCell ref="BO2:BO3"/>
    <mergeCell ref="CP2:CP3"/>
    <mergeCell ref="BV2:BV3"/>
    <mergeCell ref="BG2:BG3"/>
    <mergeCell ref="BF2:BF3"/>
    <mergeCell ref="AZ2:AZ3"/>
    <mergeCell ref="BW2:BW3"/>
    <mergeCell ref="BX2:BX3"/>
    <mergeCell ref="CH2:CH3"/>
    <mergeCell ref="CN2:CN3"/>
    <mergeCell ref="CO2:CO3"/>
  </mergeCells>
  <phoneticPr fontId="35" type="noConversion"/>
  <dataValidations count="2">
    <dataValidation type="list" allowBlank="1" showInputMessage="1" showErrorMessage="1" sqref="CE63:CE89 CE4:CE61 CC4:CD89 CB4:CB82 CA4:CA83 BV4:BV88 BU4:BU89 BT4:BT85 BS4:BS82 BR60:BR82 BR57:BR58 BR4:BR55 BQ4:BQ89 BL4:BM82 BK4:BK84 BJ12:BJ83 BI4:BI89 BE4:BE77 BD4:BD88 BB4:BC77 BA4:BA76 AW4:AW77 AV4:AV83 AS4:AU77 AM64:AM77 AM4:AM50 AL4:AL77 AK64:AK77 AK4:AK50 AJ66 AJ4:AJ40 AI65:AI89 AI4:AI50 AD4:AE89 AC78:AC89 AC51:AC63 AC38:AC49 AC25:AC35 AC4:AC23 AA4:AB89 S4:W89 K4:O89" xr:uid="{00000000-0002-0000-0300-000000000000}">
      <formula1>"5,X,⭕,"</formula1>
    </dataValidation>
    <dataValidation type="list" showInputMessage="1" showErrorMessage="1" sqref="AC24 CE62 BR59 BR56 AS88 AM51:AM63 AL78:AL84 AJ78:AK89 AJ51:AK63 AI51:AI64 AC64:AC77 AC50 AC37" xr:uid="{00000000-0002-0000-0300-00000D000000}">
      <formula1>"5,X,⭕,"</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专业词汇必背-机械">
    <tabColor rgb="FFFFFFFF"/>
  </sheetPr>
  <dimension ref="A1:D1234"/>
  <sheetViews>
    <sheetView workbookViewId="0">
      <pane xSplit="1" ySplit="1" topLeftCell="B2" activePane="bottomRight" state="frozen"/>
      <selection pane="topRight"/>
      <selection pane="bottomLeft"/>
      <selection pane="bottomRight" activeCell="B2" sqref="B2"/>
    </sheetView>
  </sheetViews>
  <sheetFormatPr defaultRowHeight="14"/>
  <cols>
    <col min="1" max="1" width="13.7265625" customWidth="1"/>
    <col min="2" max="2" width="58.81640625" customWidth="1"/>
    <col min="3" max="3" width="73.54296875" style="134" customWidth="1"/>
    <col min="4" max="4" width="34.26953125" customWidth="1"/>
  </cols>
  <sheetData>
    <row r="1" spans="1:4" ht="22.5" customHeight="1">
      <c r="A1" s="104" t="s">
        <v>245</v>
      </c>
      <c r="B1" s="104" t="s">
        <v>471</v>
      </c>
      <c r="C1" s="104" t="s">
        <v>472</v>
      </c>
      <c r="D1" s="104" t="s">
        <v>257</v>
      </c>
    </row>
    <row r="2" spans="1:4" ht="22.5" customHeight="1">
      <c r="A2" s="105">
        <v>1</v>
      </c>
      <c r="B2" s="105" t="s">
        <v>473</v>
      </c>
      <c r="C2" s="105" t="s">
        <v>474</v>
      </c>
      <c r="D2" s="105"/>
    </row>
    <row r="3" spans="1:4" ht="22.5" customHeight="1">
      <c r="A3" s="105">
        <v>2</v>
      </c>
      <c r="B3" s="105" t="s">
        <v>475</v>
      </c>
      <c r="C3" s="105" t="s">
        <v>476</v>
      </c>
      <c r="D3" s="105" t="s">
        <v>0</v>
      </c>
    </row>
    <row r="4" spans="1:4" ht="22.5" customHeight="1">
      <c r="A4" s="105">
        <v>3</v>
      </c>
      <c r="B4" s="105" t="s">
        <v>477</v>
      </c>
      <c r="C4" s="105" t="s">
        <v>478</v>
      </c>
      <c r="D4" s="105" t="s">
        <v>0</v>
      </c>
    </row>
    <row r="5" spans="1:4" ht="22.5" customHeight="1">
      <c r="A5" s="105">
        <v>4</v>
      </c>
      <c r="B5" s="105" t="s">
        <v>479</v>
      </c>
      <c r="C5" s="105" t="s">
        <v>480</v>
      </c>
      <c r="D5" s="105" t="s">
        <v>0</v>
      </c>
    </row>
    <row r="6" spans="1:4" ht="22.5" customHeight="1">
      <c r="A6" s="105">
        <v>5</v>
      </c>
      <c r="B6" s="105" t="s">
        <v>481</v>
      </c>
      <c r="C6" s="105" t="s">
        <v>482</v>
      </c>
      <c r="D6" s="105" t="s">
        <v>0</v>
      </c>
    </row>
    <row r="7" spans="1:4" ht="22.5" customHeight="1">
      <c r="A7" s="105">
        <v>6</v>
      </c>
      <c r="B7" s="105" t="s">
        <v>483</v>
      </c>
      <c r="C7" s="105" t="s">
        <v>484</v>
      </c>
      <c r="D7" s="105" t="s">
        <v>0</v>
      </c>
    </row>
    <row r="8" spans="1:4" ht="22.5" customHeight="1">
      <c r="A8" s="105">
        <v>7</v>
      </c>
      <c r="B8" s="105" t="s">
        <v>485</v>
      </c>
      <c r="C8" s="105" t="s">
        <v>486</v>
      </c>
      <c r="D8" s="105" t="s">
        <v>0</v>
      </c>
    </row>
    <row r="9" spans="1:4" ht="22.5" customHeight="1">
      <c r="A9" s="105">
        <v>8</v>
      </c>
      <c r="B9" s="105" t="s">
        <v>487</v>
      </c>
      <c r="C9" s="105" t="s">
        <v>488</v>
      </c>
      <c r="D9" s="105" t="s">
        <v>0</v>
      </c>
    </row>
    <row r="10" spans="1:4" ht="22.5" customHeight="1">
      <c r="A10" s="105">
        <v>9</v>
      </c>
      <c r="B10" s="105" t="s">
        <v>489</v>
      </c>
      <c r="C10" s="105" t="s">
        <v>490</v>
      </c>
      <c r="D10" s="105" t="s">
        <v>0</v>
      </c>
    </row>
    <row r="11" spans="1:4" ht="22.5" customHeight="1">
      <c r="A11" s="105">
        <v>10</v>
      </c>
      <c r="B11" s="105" t="s">
        <v>491</v>
      </c>
      <c r="C11" s="105" t="s">
        <v>492</v>
      </c>
      <c r="D11" s="105" t="s">
        <v>0</v>
      </c>
    </row>
    <row r="12" spans="1:4" ht="22.5" customHeight="1">
      <c r="A12" s="105">
        <v>11</v>
      </c>
      <c r="B12" s="105" t="s">
        <v>493</v>
      </c>
      <c r="C12" s="105" t="s">
        <v>494</v>
      </c>
      <c r="D12" s="105" t="s">
        <v>0</v>
      </c>
    </row>
    <row r="13" spans="1:4" ht="22.5" customHeight="1">
      <c r="A13" s="105">
        <v>12</v>
      </c>
      <c r="B13" s="105" t="s">
        <v>495</v>
      </c>
      <c r="C13" s="105" t="s">
        <v>496</v>
      </c>
      <c r="D13" s="105" t="s">
        <v>0</v>
      </c>
    </row>
    <row r="14" spans="1:4" ht="22.5" customHeight="1">
      <c r="A14" s="105">
        <v>13</v>
      </c>
      <c r="B14" s="105" t="s">
        <v>497</v>
      </c>
      <c r="C14" s="105" t="s">
        <v>498</v>
      </c>
      <c r="D14" s="105" t="s">
        <v>0</v>
      </c>
    </row>
    <row r="15" spans="1:4" ht="22.5" customHeight="1">
      <c r="A15" s="105">
        <v>14</v>
      </c>
      <c r="B15" s="105" t="s">
        <v>499</v>
      </c>
      <c r="C15" s="105" t="s">
        <v>500</v>
      </c>
      <c r="D15" s="105" t="s">
        <v>0</v>
      </c>
    </row>
    <row r="16" spans="1:4" ht="22.5" customHeight="1">
      <c r="A16" s="105">
        <v>15</v>
      </c>
      <c r="B16" s="105" t="s">
        <v>501</v>
      </c>
      <c r="C16" s="105" t="s">
        <v>502</v>
      </c>
      <c r="D16" s="105" t="s">
        <v>0</v>
      </c>
    </row>
    <row r="17" spans="1:4" ht="22.5" customHeight="1">
      <c r="A17" s="105">
        <v>16</v>
      </c>
      <c r="B17" s="105" t="s">
        <v>503</v>
      </c>
      <c r="C17" s="105" t="s">
        <v>504</v>
      </c>
      <c r="D17" s="105" t="s">
        <v>0</v>
      </c>
    </row>
    <row r="18" spans="1:4" ht="22.5" customHeight="1">
      <c r="A18" s="105">
        <v>17</v>
      </c>
      <c r="B18" s="105" t="s">
        <v>505</v>
      </c>
      <c r="C18" s="105" t="s">
        <v>506</v>
      </c>
      <c r="D18" s="105" t="s">
        <v>0</v>
      </c>
    </row>
    <row r="19" spans="1:4" ht="22.5" customHeight="1">
      <c r="A19" s="105">
        <v>18</v>
      </c>
      <c r="B19" s="105" t="s">
        <v>507</v>
      </c>
      <c r="C19" s="105" t="s">
        <v>508</v>
      </c>
      <c r="D19" s="105" t="s">
        <v>0</v>
      </c>
    </row>
    <row r="20" spans="1:4" ht="22.5" customHeight="1">
      <c r="A20" s="105">
        <v>19</v>
      </c>
      <c r="B20" s="105" t="s">
        <v>509</v>
      </c>
      <c r="C20" s="105" t="s">
        <v>510</v>
      </c>
      <c r="D20" s="105" t="s">
        <v>0</v>
      </c>
    </row>
    <row r="21" spans="1:4" ht="22.5" customHeight="1">
      <c r="A21" s="105">
        <v>20</v>
      </c>
      <c r="B21" s="105" t="s">
        <v>511</v>
      </c>
      <c r="C21" s="105" t="s">
        <v>512</v>
      </c>
      <c r="D21" s="105" t="s">
        <v>0</v>
      </c>
    </row>
    <row r="22" spans="1:4" ht="22.5" customHeight="1">
      <c r="A22" s="105">
        <v>21</v>
      </c>
      <c r="B22" s="105" t="s">
        <v>513</v>
      </c>
      <c r="C22" s="105" t="s">
        <v>514</v>
      </c>
      <c r="D22" s="105" t="s">
        <v>0</v>
      </c>
    </row>
    <row r="23" spans="1:4" ht="22.5" customHeight="1">
      <c r="A23" s="105">
        <v>22</v>
      </c>
      <c r="B23" s="105" t="s">
        <v>515</v>
      </c>
      <c r="C23" s="105" t="s">
        <v>516</v>
      </c>
      <c r="D23" s="105" t="s">
        <v>0</v>
      </c>
    </row>
    <row r="24" spans="1:4" ht="22.5" customHeight="1">
      <c r="A24" s="105">
        <v>23</v>
      </c>
      <c r="B24" s="105" t="s">
        <v>517</v>
      </c>
      <c r="C24" s="105" t="s">
        <v>518</v>
      </c>
      <c r="D24" s="105" t="s">
        <v>0</v>
      </c>
    </row>
    <row r="25" spans="1:4" ht="22.5" customHeight="1">
      <c r="A25" s="105">
        <v>24</v>
      </c>
      <c r="B25" s="105" t="s">
        <v>519</v>
      </c>
      <c r="C25" s="105" t="s">
        <v>520</v>
      </c>
      <c r="D25" s="105" t="s">
        <v>0</v>
      </c>
    </row>
    <row r="26" spans="1:4" ht="22.5" customHeight="1">
      <c r="A26" s="105">
        <v>25</v>
      </c>
      <c r="B26" s="105" t="s">
        <v>521</v>
      </c>
      <c r="C26" s="105" t="s">
        <v>522</v>
      </c>
      <c r="D26" s="105" t="s">
        <v>0</v>
      </c>
    </row>
    <row r="27" spans="1:4" ht="22.5" customHeight="1">
      <c r="A27" s="105">
        <v>26</v>
      </c>
      <c r="B27" s="105" t="s">
        <v>523</v>
      </c>
      <c r="C27" s="105" t="s">
        <v>524</v>
      </c>
      <c r="D27" s="105" t="s">
        <v>0</v>
      </c>
    </row>
    <row r="28" spans="1:4" ht="22.5" customHeight="1">
      <c r="A28" s="105">
        <v>27</v>
      </c>
      <c r="B28" s="105" t="s">
        <v>525</v>
      </c>
      <c r="C28" s="105" t="s">
        <v>526</v>
      </c>
      <c r="D28" s="105" t="s">
        <v>0</v>
      </c>
    </row>
    <row r="29" spans="1:4" ht="22.5" customHeight="1">
      <c r="A29" s="105">
        <v>28</v>
      </c>
      <c r="B29" s="105" t="s">
        <v>527</v>
      </c>
      <c r="C29" s="105" t="s">
        <v>528</v>
      </c>
      <c r="D29" s="105" t="s">
        <v>0</v>
      </c>
    </row>
    <row r="30" spans="1:4" ht="22.5" customHeight="1">
      <c r="A30" s="105">
        <v>29</v>
      </c>
      <c r="B30" s="105" t="s">
        <v>529</v>
      </c>
      <c r="C30" s="105" t="s">
        <v>530</v>
      </c>
      <c r="D30" s="105" t="s">
        <v>0</v>
      </c>
    </row>
    <row r="31" spans="1:4" ht="22.5" customHeight="1">
      <c r="A31" s="105">
        <v>30</v>
      </c>
      <c r="B31" s="105" t="s">
        <v>531</v>
      </c>
      <c r="C31" s="105" t="s">
        <v>532</v>
      </c>
      <c r="D31" s="105" t="s">
        <v>0</v>
      </c>
    </row>
    <row r="32" spans="1:4" ht="22.5" customHeight="1">
      <c r="A32" s="105">
        <v>31</v>
      </c>
      <c r="B32" s="105" t="s">
        <v>533</v>
      </c>
      <c r="C32" s="105" t="s">
        <v>534</v>
      </c>
      <c r="D32" s="105" t="s">
        <v>0</v>
      </c>
    </row>
    <row r="33" spans="1:4" ht="22.5" customHeight="1">
      <c r="A33" s="105">
        <v>32</v>
      </c>
      <c r="B33" s="105" t="s">
        <v>535</v>
      </c>
      <c r="C33" s="105" t="s">
        <v>536</v>
      </c>
      <c r="D33" s="105" t="s">
        <v>0</v>
      </c>
    </row>
    <row r="34" spans="1:4" ht="22.5" customHeight="1">
      <c r="A34" s="105">
        <v>33</v>
      </c>
      <c r="B34" s="105" t="s">
        <v>537</v>
      </c>
      <c r="C34" s="105" t="s">
        <v>538</v>
      </c>
      <c r="D34" s="105" t="s">
        <v>0</v>
      </c>
    </row>
    <row r="35" spans="1:4" ht="22.5" customHeight="1">
      <c r="A35" s="105">
        <v>34</v>
      </c>
      <c r="B35" s="105" t="s">
        <v>539</v>
      </c>
      <c r="C35" s="105" t="s">
        <v>540</v>
      </c>
      <c r="D35" s="105" t="s">
        <v>0</v>
      </c>
    </row>
    <row r="36" spans="1:4" ht="22.5" customHeight="1">
      <c r="A36" s="105">
        <v>35</v>
      </c>
      <c r="B36" s="105" t="s">
        <v>541</v>
      </c>
      <c r="C36" s="105" t="s">
        <v>542</v>
      </c>
      <c r="D36" s="105" t="s">
        <v>0</v>
      </c>
    </row>
    <row r="37" spans="1:4" ht="22.5" customHeight="1">
      <c r="A37" s="105">
        <v>36</v>
      </c>
      <c r="B37" s="105" t="s">
        <v>543</v>
      </c>
      <c r="C37" s="105" t="s">
        <v>544</v>
      </c>
      <c r="D37" s="105" t="s">
        <v>0</v>
      </c>
    </row>
    <row r="38" spans="1:4" ht="22.5" customHeight="1">
      <c r="A38" s="105">
        <v>37</v>
      </c>
      <c r="B38" s="105" t="s">
        <v>545</v>
      </c>
      <c r="C38" s="105" t="s">
        <v>546</v>
      </c>
      <c r="D38" s="105" t="s">
        <v>0</v>
      </c>
    </row>
    <row r="39" spans="1:4" ht="22.5" customHeight="1">
      <c r="A39" s="105">
        <v>38</v>
      </c>
      <c r="B39" s="105" t="s">
        <v>547</v>
      </c>
      <c r="C39" s="105" t="s">
        <v>548</v>
      </c>
      <c r="D39" s="105" t="s">
        <v>0</v>
      </c>
    </row>
    <row r="40" spans="1:4" ht="22.5" customHeight="1">
      <c r="A40" s="105">
        <v>39</v>
      </c>
      <c r="B40" s="105" t="s">
        <v>549</v>
      </c>
      <c r="C40" s="105" t="s">
        <v>550</v>
      </c>
      <c r="D40" s="105" t="s">
        <v>0</v>
      </c>
    </row>
    <row r="41" spans="1:4" ht="22.5" customHeight="1">
      <c r="A41" s="105">
        <v>40</v>
      </c>
      <c r="B41" s="105" t="s">
        <v>551</v>
      </c>
      <c r="C41" s="105" t="s">
        <v>552</v>
      </c>
      <c r="D41" s="105" t="s">
        <v>0</v>
      </c>
    </row>
    <row r="42" spans="1:4" ht="22.5" customHeight="1">
      <c r="A42" s="105">
        <v>41</v>
      </c>
      <c r="B42" s="105" t="s">
        <v>553</v>
      </c>
      <c r="C42" s="105" t="s">
        <v>554</v>
      </c>
      <c r="D42" s="105" t="s">
        <v>0</v>
      </c>
    </row>
    <row r="43" spans="1:4" ht="22.5" customHeight="1">
      <c r="A43" s="105">
        <v>42</v>
      </c>
      <c r="B43" s="105" t="s">
        <v>555</v>
      </c>
      <c r="C43" s="105" t="s">
        <v>556</v>
      </c>
      <c r="D43" s="105" t="s">
        <v>0</v>
      </c>
    </row>
    <row r="44" spans="1:4" ht="22.5" customHeight="1">
      <c r="A44" s="105">
        <v>43</v>
      </c>
      <c r="B44" s="105" t="s">
        <v>557</v>
      </c>
      <c r="C44" s="105" t="s">
        <v>558</v>
      </c>
      <c r="D44" s="105" t="s">
        <v>0</v>
      </c>
    </row>
    <row r="45" spans="1:4" ht="22.5" customHeight="1">
      <c r="A45" s="105">
        <v>44</v>
      </c>
      <c r="B45" s="105" t="s">
        <v>559</v>
      </c>
      <c r="C45" s="105" t="s">
        <v>560</v>
      </c>
      <c r="D45" s="105" t="s">
        <v>0</v>
      </c>
    </row>
    <row r="46" spans="1:4" ht="22.5" customHeight="1">
      <c r="A46" s="105">
        <v>45</v>
      </c>
      <c r="B46" s="105" t="s">
        <v>561</v>
      </c>
      <c r="C46" s="105" t="s">
        <v>562</v>
      </c>
      <c r="D46" s="105" t="s">
        <v>0</v>
      </c>
    </row>
    <row r="47" spans="1:4" ht="22.5" customHeight="1">
      <c r="A47" s="105">
        <v>46</v>
      </c>
      <c r="B47" s="105" t="s">
        <v>563</v>
      </c>
      <c r="C47" s="105" t="s">
        <v>564</v>
      </c>
      <c r="D47" s="105" t="s">
        <v>0</v>
      </c>
    </row>
    <row r="48" spans="1:4" ht="22.5" customHeight="1">
      <c r="A48" s="105">
        <v>47</v>
      </c>
      <c r="B48" s="105" t="s">
        <v>565</v>
      </c>
      <c r="C48" s="105" t="s">
        <v>566</v>
      </c>
      <c r="D48" s="105" t="s">
        <v>0</v>
      </c>
    </row>
    <row r="49" spans="1:4" ht="22.5" customHeight="1">
      <c r="A49" s="105">
        <v>48</v>
      </c>
      <c r="B49" s="105" t="s">
        <v>567</v>
      </c>
      <c r="C49" s="105" t="s">
        <v>568</v>
      </c>
      <c r="D49" s="105" t="s">
        <v>0</v>
      </c>
    </row>
    <row r="50" spans="1:4" ht="22.5" customHeight="1">
      <c r="A50" s="105">
        <v>49</v>
      </c>
      <c r="B50" s="105" t="s">
        <v>569</v>
      </c>
      <c r="C50" s="105" t="s">
        <v>570</v>
      </c>
      <c r="D50" s="105" t="s">
        <v>0</v>
      </c>
    </row>
    <row r="51" spans="1:4" ht="22.5" customHeight="1">
      <c r="A51" s="105">
        <v>50</v>
      </c>
      <c r="B51" s="105" t="s">
        <v>571</v>
      </c>
      <c r="C51" s="105" t="s">
        <v>572</v>
      </c>
      <c r="D51" s="105" t="s">
        <v>0</v>
      </c>
    </row>
    <row r="52" spans="1:4" ht="22.5" customHeight="1">
      <c r="A52" s="105">
        <v>51</v>
      </c>
      <c r="B52" s="105" t="s">
        <v>573</v>
      </c>
      <c r="C52" s="105" t="s">
        <v>574</v>
      </c>
      <c r="D52" s="105" t="s">
        <v>0</v>
      </c>
    </row>
    <row r="53" spans="1:4" ht="22.5" customHeight="1">
      <c r="A53" s="105">
        <v>52</v>
      </c>
      <c r="B53" s="105" t="s">
        <v>575</v>
      </c>
      <c r="C53" s="105" t="s">
        <v>576</v>
      </c>
      <c r="D53" s="105" t="s">
        <v>0</v>
      </c>
    </row>
    <row r="54" spans="1:4" ht="22.5" customHeight="1">
      <c r="A54" s="105">
        <v>53</v>
      </c>
      <c r="B54" s="105" t="s">
        <v>577</v>
      </c>
      <c r="C54" s="105" t="s">
        <v>578</v>
      </c>
      <c r="D54" s="105" t="s">
        <v>0</v>
      </c>
    </row>
    <row r="55" spans="1:4" ht="22.5" customHeight="1">
      <c r="A55" s="105">
        <v>54</v>
      </c>
      <c r="B55" s="105" t="s">
        <v>579</v>
      </c>
      <c r="C55" s="105" t="s">
        <v>580</v>
      </c>
      <c r="D55" s="105" t="s">
        <v>0</v>
      </c>
    </row>
    <row r="56" spans="1:4" ht="22.5" customHeight="1">
      <c r="A56" s="105">
        <v>55</v>
      </c>
      <c r="B56" s="105" t="s">
        <v>581</v>
      </c>
      <c r="C56" s="105" t="s">
        <v>582</v>
      </c>
      <c r="D56" s="105" t="s">
        <v>0</v>
      </c>
    </row>
    <row r="57" spans="1:4" ht="22.5" customHeight="1">
      <c r="A57" s="105">
        <v>56</v>
      </c>
      <c r="B57" s="105" t="s">
        <v>583</v>
      </c>
      <c r="C57" s="105" t="s">
        <v>584</v>
      </c>
      <c r="D57" s="105" t="s">
        <v>0</v>
      </c>
    </row>
    <row r="58" spans="1:4" ht="22.5" customHeight="1">
      <c r="A58" s="105">
        <v>57</v>
      </c>
      <c r="B58" s="105" t="s">
        <v>585</v>
      </c>
      <c r="C58" s="105" t="s">
        <v>586</v>
      </c>
      <c r="D58" s="105" t="s">
        <v>0</v>
      </c>
    </row>
    <row r="59" spans="1:4" ht="22.5" customHeight="1">
      <c r="A59" s="105">
        <v>58</v>
      </c>
      <c r="B59" s="105" t="s">
        <v>587</v>
      </c>
      <c r="C59" s="105" t="s">
        <v>588</v>
      </c>
      <c r="D59" s="105" t="s">
        <v>0</v>
      </c>
    </row>
    <row r="60" spans="1:4" ht="22.5" customHeight="1">
      <c r="A60" s="105">
        <v>59</v>
      </c>
      <c r="B60" s="105" t="s">
        <v>589</v>
      </c>
      <c r="C60" s="105" t="s">
        <v>590</v>
      </c>
      <c r="D60" s="105" t="s">
        <v>0</v>
      </c>
    </row>
    <row r="61" spans="1:4" ht="22.5" customHeight="1">
      <c r="A61" s="105">
        <v>60</v>
      </c>
      <c r="B61" s="105" t="s">
        <v>591</v>
      </c>
      <c r="C61" s="105" t="s">
        <v>592</v>
      </c>
      <c r="D61" s="105" t="s">
        <v>0</v>
      </c>
    </row>
    <row r="62" spans="1:4" ht="22.5" customHeight="1">
      <c r="A62" s="105">
        <v>61</v>
      </c>
      <c r="B62" s="105" t="s">
        <v>593</v>
      </c>
      <c r="C62" s="105" t="s">
        <v>594</v>
      </c>
      <c r="D62" s="105" t="s">
        <v>0</v>
      </c>
    </row>
    <row r="63" spans="1:4" ht="22.5" customHeight="1">
      <c r="A63" s="105">
        <v>62</v>
      </c>
      <c r="B63" s="105" t="s">
        <v>595</v>
      </c>
      <c r="C63" s="105" t="s">
        <v>596</v>
      </c>
      <c r="D63" s="105" t="s">
        <v>0</v>
      </c>
    </row>
    <row r="64" spans="1:4" ht="22.5" customHeight="1">
      <c r="A64" s="105">
        <v>63</v>
      </c>
      <c r="B64" s="105" t="s">
        <v>597</v>
      </c>
      <c r="C64" s="105" t="s">
        <v>598</v>
      </c>
      <c r="D64" s="105" t="s">
        <v>0</v>
      </c>
    </row>
    <row r="65" spans="1:4" ht="22.5" customHeight="1">
      <c r="A65" s="105">
        <v>64</v>
      </c>
      <c r="B65" s="105" t="s">
        <v>599</v>
      </c>
      <c r="C65" s="105" t="s">
        <v>600</v>
      </c>
      <c r="D65" s="105" t="s">
        <v>0</v>
      </c>
    </row>
    <row r="66" spans="1:4" ht="22.5" customHeight="1">
      <c r="A66" s="105">
        <v>65</v>
      </c>
      <c r="B66" s="105" t="s">
        <v>601</v>
      </c>
      <c r="C66" s="105" t="s">
        <v>602</v>
      </c>
      <c r="D66" s="105" t="s">
        <v>0</v>
      </c>
    </row>
    <row r="67" spans="1:4" ht="22.5" customHeight="1">
      <c r="A67" s="105">
        <v>66</v>
      </c>
      <c r="B67" s="105" t="s">
        <v>603</v>
      </c>
      <c r="C67" s="105" t="s">
        <v>604</v>
      </c>
      <c r="D67" s="105" t="s">
        <v>0</v>
      </c>
    </row>
    <row r="68" spans="1:4" ht="22.5" customHeight="1">
      <c r="A68" s="105">
        <v>67</v>
      </c>
      <c r="B68" s="105" t="s">
        <v>605</v>
      </c>
      <c r="C68" s="105" t="s">
        <v>606</v>
      </c>
      <c r="D68" s="105" t="s">
        <v>0</v>
      </c>
    </row>
    <row r="69" spans="1:4" ht="22.5" customHeight="1">
      <c r="A69" s="105">
        <v>68</v>
      </c>
      <c r="B69" s="105" t="s">
        <v>607</v>
      </c>
      <c r="C69" s="105" t="s">
        <v>608</v>
      </c>
      <c r="D69" s="105" t="s">
        <v>0</v>
      </c>
    </row>
    <row r="70" spans="1:4" ht="22.5" customHeight="1">
      <c r="A70" s="105">
        <v>69</v>
      </c>
      <c r="B70" s="105" t="s">
        <v>609</v>
      </c>
      <c r="C70" s="105" t="s">
        <v>610</v>
      </c>
      <c r="D70" s="105" t="s">
        <v>0</v>
      </c>
    </row>
    <row r="71" spans="1:4" ht="22.5" customHeight="1">
      <c r="A71" s="105">
        <v>70</v>
      </c>
      <c r="B71" s="105" t="s">
        <v>611</v>
      </c>
      <c r="C71" s="105" t="s">
        <v>612</v>
      </c>
      <c r="D71" s="105" t="s">
        <v>0</v>
      </c>
    </row>
    <row r="72" spans="1:4" ht="22.5" customHeight="1">
      <c r="A72" s="105">
        <v>71</v>
      </c>
      <c r="B72" s="105" t="s">
        <v>613</v>
      </c>
      <c r="C72" s="105" t="s">
        <v>614</v>
      </c>
      <c r="D72" s="105" t="s">
        <v>0</v>
      </c>
    </row>
    <row r="73" spans="1:4" ht="22.5" customHeight="1">
      <c r="A73" s="105">
        <v>72</v>
      </c>
      <c r="B73" s="105" t="s">
        <v>615</v>
      </c>
      <c r="C73" s="105" t="s">
        <v>616</v>
      </c>
      <c r="D73" s="105" t="s">
        <v>0</v>
      </c>
    </row>
    <row r="74" spans="1:4" ht="22.5" customHeight="1">
      <c r="A74" s="105">
        <v>73</v>
      </c>
      <c r="B74" s="105" t="s">
        <v>617</v>
      </c>
      <c r="C74" s="105" t="s">
        <v>618</v>
      </c>
      <c r="D74" s="105" t="s">
        <v>0</v>
      </c>
    </row>
    <row r="75" spans="1:4" ht="22.5" customHeight="1">
      <c r="A75" s="105">
        <v>74</v>
      </c>
      <c r="B75" s="105" t="s">
        <v>619</v>
      </c>
      <c r="C75" s="105" t="s">
        <v>620</v>
      </c>
      <c r="D75" s="105" t="s">
        <v>0</v>
      </c>
    </row>
    <row r="76" spans="1:4" ht="22.5" customHeight="1">
      <c r="A76" s="105">
        <v>75</v>
      </c>
      <c r="B76" s="105" t="s">
        <v>621</v>
      </c>
      <c r="C76" s="105" t="s">
        <v>622</v>
      </c>
      <c r="D76" s="105" t="s">
        <v>0</v>
      </c>
    </row>
    <row r="77" spans="1:4" ht="22.5" customHeight="1">
      <c r="A77" s="105">
        <v>76</v>
      </c>
      <c r="B77" s="105" t="s">
        <v>623</v>
      </c>
      <c r="C77" s="105" t="s">
        <v>624</v>
      </c>
      <c r="D77" s="105" t="s">
        <v>0</v>
      </c>
    </row>
    <row r="78" spans="1:4" ht="22.5" customHeight="1">
      <c r="A78" s="105">
        <v>77</v>
      </c>
      <c r="B78" s="105" t="s">
        <v>625</v>
      </c>
      <c r="C78" s="105" t="s">
        <v>626</v>
      </c>
      <c r="D78" s="105" t="s">
        <v>0</v>
      </c>
    </row>
    <row r="79" spans="1:4" ht="22.5" customHeight="1">
      <c r="A79" s="105">
        <v>78</v>
      </c>
      <c r="B79" s="105" t="s">
        <v>627</v>
      </c>
      <c r="C79" s="105" t="s">
        <v>628</v>
      </c>
      <c r="D79" s="105" t="s">
        <v>0</v>
      </c>
    </row>
    <row r="80" spans="1:4" ht="22.5" customHeight="1">
      <c r="A80" s="105">
        <v>79</v>
      </c>
      <c r="B80" s="105" t="s">
        <v>629</v>
      </c>
      <c r="C80" s="105" t="s">
        <v>630</v>
      </c>
      <c r="D80" s="105" t="s">
        <v>0</v>
      </c>
    </row>
    <row r="81" spans="1:4" ht="22.5" customHeight="1">
      <c r="A81" s="105">
        <v>80</v>
      </c>
      <c r="B81" s="105" t="s">
        <v>631</v>
      </c>
      <c r="C81" s="105" t="s">
        <v>632</v>
      </c>
      <c r="D81" s="105" t="s">
        <v>0</v>
      </c>
    </row>
    <row r="82" spans="1:4" ht="22.5" customHeight="1">
      <c r="A82" s="105">
        <v>81</v>
      </c>
      <c r="B82" s="105" t="s">
        <v>633</v>
      </c>
      <c r="C82" s="105" t="s">
        <v>634</v>
      </c>
      <c r="D82" s="105" t="s">
        <v>0</v>
      </c>
    </row>
    <row r="83" spans="1:4" ht="22.5" customHeight="1">
      <c r="A83" s="105">
        <v>82</v>
      </c>
      <c r="B83" s="105" t="s">
        <v>635</v>
      </c>
      <c r="C83" s="105" t="s">
        <v>636</v>
      </c>
      <c r="D83" s="105" t="s">
        <v>0</v>
      </c>
    </row>
    <row r="84" spans="1:4" ht="22.5" customHeight="1">
      <c r="A84" s="105">
        <v>83</v>
      </c>
      <c r="B84" s="105" t="s">
        <v>637</v>
      </c>
      <c r="C84" s="105" t="s">
        <v>638</v>
      </c>
      <c r="D84" s="105" t="s">
        <v>0</v>
      </c>
    </row>
    <row r="85" spans="1:4" ht="22.5" customHeight="1">
      <c r="A85" s="105">
        <v>84</v>
      </c>
      <c r="B85" s="105" t="s">
        <v>639</v>
      </c>
      <c r="C85" s="105" t="s">
        <v>640</v>
      </c>
      <c r="D85" s="105" t="s">
        <v>0</v>
      </c>
    </row>
    <row r="86" spans="1:4" ht="22.5" customHeight="1">
      <c r="A86" s="105">
        <v>85</v>
      </c>
      <c r="B86" s="105" t="s">
        <v>641</v>
      </c>
      <c r="C86" s="105" t="s">
        <v>642</v>
      </c>
      <c r="D86" s="105" t="s">
        <v>0</v>
      </c>
    </row>
    <row r="87" spans="1:4" ht="22.5" customHeight="1">
      <c r="A87" s="105">
        <v>86</v>
      </c>
      <c r="B87" s="105" t="s">
        <v>643</v>
      </c>
      <c r="C87" s="105" t="s">
        <v>644</v>
      </c>
      <c r="D87" s="105" t="s">
        <v>0</v>
      </c>
    </row>
    <row r="88" spans="1:4" ht="22.5" customHeight="1">
      <c r="A88" s="105">
        <v>87</v>
      </c>
      <c r="B88" s="105" t="s">
        <v>645</v>
      </c>
      <c r="C88" s="105" t="s">
        <v>646</v>
      </c>
      <c r="D88" s="105" t="s">
        <v>0</v>
      </c>
    </row>
    <row r="89" spans="1:4" ht="22.5" customHeight="1">
      <c r="A89" s="105">
        <v>88</v>
      </c>
      <c r="B89" s="105" t="s">
        <v>647</v>
      </c>
      <c r="C89" s="105" t="s">
        <v>648</v>
      </c>
      <c r="D89" s="105" t="s">
        <v>0</v>
      </c>
    </row>
    <row r="90" spans="1:4" ht="22.5" customHeight="1">
      <c r="A90" s="105">
        <v>89</v>
      </c>
      <c r="B90" s="105" t="s">
        <v>649</v>
      </c>
      <c r="C90" s="105" t="s">
        <v>650</v>
      </c>
      <c r="D90" s="105" t="s">
        <v>0</v>
      </c>
    </row>
    <row r="91" spans="1:4" ht="22.5" customHeight="1">
      <c r="A91" s="105">
        <v>90</v>
      </c>
      <c r="B91" s="105" t="s">
        <v>651</v>
      </c>
      <c r="C91" s="105" t="s">
        <v>652</v>
      </c>
      <c r="D91" s="105" t="s">
        <v>0</v>
      </c>
    </row>
    <row r="92" spans="1:4" ht="22.5" customHeight="1">
      <c r="A92" s="105">
        <v>91</v>
      </c>
      <c r="B92" s="105" t="s">
        <v>653</v>
      </c>
      <c r="C92" s="105" t="s">
        <v>654</v>
      </c>
      <c r="D92" s="105" t="s">
        <v>0</v>
      </c>
    </row>
    <row r="93" spans="1:4" ht="22.5" customHeight="1">
      <c r="A93" s="105">
        <v>92</v>
      </c>
      <c r="B93" s="105" t="s">
        <v>655</v>
      </c>
      <c r="C93" s="105" t="s">
        <v>656</v>
      </c>
      <c r="D93" s="105" t="s">
        <v>0</v>
      </c>
    </row>
    <row r="94" spans="1:4" ht="22.5" customHeight="1">
      <c r="A94" s="105">
        <v>93</v>
      </c>
      <c r="B94" s="105" t="s">
        <v>657</v>
      </c>
      <c r="C94" s="105" t="s">
        <v>658</v>
      </c>
      <c r="D94" s="105" t="s">
        <v>0</v>
      </c>
    </row>
    <row r="95" spans="1:4" ht="22.5" customHeight="1">
      <c r="A95" s="105">
        <v>94</v>
      </c>
      <c r="B95" s="105" t="s">
        <v>659</v>
      </c>
      <c r="C95" s="105" t="s">
        <v>660</v>
      </c>
      <c r="D95" s="105" t="s">
        <v>0</v>
      </c>
    </row>
    <row r="96" spans="1:4" ht="22.5" customHeight="1">
      <c r="A96" s="105">
        <v>95</v>
      </c>
      <c r="B96" s="105" t="s">
        <v>661</v>
      </c>
      <c r="C96" s="105" t="s">
        <v>662</v>
      </c>
      <c r="D96" s="105" t="s">
        <v>0</v>
      </c>
    </row>
    <row r="97" spans="1:4" ht="22.5" customHeight="1">
      <c r="A97" s="105">
        <v>96</v>
      </c>
      <c r="B97" s="105" t="s">
        <v>663</v>
      </c>
      <c r="C97" s="105" t="s">
        <v>664</v>
      </c>
      <c r="D97" s="105" t="s">
        <v>0</v>
      </c>
    </row>
    <row r="98" spans="1:4" ht="22.5" customHeight="1">
      <c r="A98" s="105">
        <v>97</v>
      </c>
      <c r="B98" s="105" t="s">
        <v>665</v>
      </c>
      <c r="C98" s="105" t="s">
        <v>666</v>
      </c>
      <c r="D98" s="105" t="s">
        <v>0</v>
      </c>
    </row>
    <row r="99" spans="1:4" ht="22.5" customHeight="1">
      <c r="A99" s="105">
        <v>98</v>
      </c>
      <c r="B99" s="105" t="s">
        <v>667</v>
      </c>
      <c r="C99" s="105" t="s">
        <v>668</v>
      </c>
      <c r="D99" s="105" t="s">
        <v>0</v>
      </c>
    </row>
    <row r="100" spans="1:4" ht="22.5" customHeight="1">
      <c r="A100" s="105">
        <v>99</v>
      </c>
      <c r="B100" s="105" t="s">
        <v>669</v>
      </c>
      <c r="C100" s="105" t="s">
        <v>670</v>
      </c>
      <c r="D100" s="105" t="s">
        <v>0</v>
      </c>
    </row>
    <row r="101" spans="1:4" ht="22.5" customHeight="1">
      <c r="A101" s="105">
        <v>100</v>
      </c>
      <c r="B101" s="105" t="s">
        <v>671</v>
      </c>
      <c r="C101" s="105" t="s">
        <v>672</v>
      </c>
      <c r="D101" s="105" t="s">
        <v>0</v>
      </c>
    </row>
    <row r="102" spans="1:4" ht="22.5" customHeight="1">
      <c r="A102" s="105">
        <v>101</v>
      </c>
      <c r="B102" s="105" t="s">
        <v>673</v>
      </c>
      <c r="C102" s="105" t="s">
        <v>674</v>
      </c>
      <c r="D102" s="105" t="s">
        <v>0</v>
      </c>
    </row>
    <row r="103" spans="1:4" ht="22.5" customHeight="1">
      <c r="A103" s="105">
        <v>102</v>
      </c>
      <c r="B103" s="106" t="s">
        <v>675</v>
      </c>
      <c r="C103" s="105" t="s">
        <v>676</v>
      </c>
      <c r="D103" s="105" t="s">
        <v>0</v>
      </c>
    </row>
    <row r="104" spans="1:4" ht="22.5" customHeight="1">
      <c r="A104" s="105">
        <v>103</v>
      </c>
      <c r="B104" s="105" t="s">
        <v>677</v>
      </c>
      <c r="C104" s="105" t="s">
        <v>678</v>
      </c>
      <c r="D104" s="105" t="s">
        <v>0</v>
      </c>
    </row>
    <row r="105" spans="1:4" ht="22.5" customHeight="1">
      <c r="A105" s="105">
        <v>104</v>
      </c>
      <c r="B105" s="105" t="s">
        <v>679</v>
      </c>
      <c r="C105" s="105" t="s">
        <v>680</v>
      </c>
      <c r="D105" s="105" t="s">
        <v>0</v>
      </c>
    </row>
    <row r="106" spans="1:4" ht="22.5" customHeight="1">
      <c r="A106" s="105">
        <v>105</v>
      </c>
      <c r="B106" s="105" t="s">
        <v>681</v>
      </c>
      <c r="C106" s="105" t="s">
        <v>682</v>
      </c>
      <c r="D106" s="105" t="s">
        <v>0</v>
      </c>
    </row>
    <row r="107" spans="1:4" ht="22.5" customHeight="1">
      <c r="A107" s="105">
        <v>106</v>
      </c>
      <c r="B107" s="105" t="s">
        <v>683</v>
      </c>
      <c r="C107" s="105" t="s">
        <v>684</v>
      </c>
      <c r="D107" s="105" t="s">
        <v>0</v>
      </c>
    </row>
    <row r="108" spans="1:4" ht="22.5" customHeight="1">
      <c r="A108" s="105">
        <v>107</v>
      </c>
      <c r="B108" s="105" t="s">
        <v>685</v>
      </c>
      <c r="C108" s="105" t="s">
        <v>686</v>
      </c>
      <c r="D108" s="105" t="s">
        <v>0</v>
      </c>
    </row>
    <row r="109" spans="1:4" ht="22.5" customHeight="1">
      <c r="A109" s="105">
        <v>108</v>
      </c>
      <c r="B109" s="105" t="s">
        <v>687</v>
      </c>
      <c r="C109" s="105" t="s">
        <v>688</v>
      </c>
      <c r="D109" s="105" t="s">
        <v>0</v>
      </c>
    </row>
    <row r="110" spans="1:4" ht="22.5" customHeight="1">
      <c r="A110" s="105">
        <v>109</v>
      </c>
      <c r="B110" s="105" t="s">
        <v>689</v>
      </c>
      <c r="C110" s="105" t="s">
        <v>690</v>
      </c>
      <c r="D110" s="105" t="s">
        <v>0</v>
      </c>
    </row>
    <row r="111" spans="1:4" ht="22.5" customHeight="1">
      <c r="A111" s="105">
        <v>110</v>
      </c>
      <c r="B111" s="105" t="s">
        <v>691</v>
      </c>
      <c r="C111" s="105" t="s">
        <v>692</v>
      </c>
      <c r="D111" s="105" t="s">
        <v>0</v>
      </c>
    </row>
    <row r="112" spans="1:4" ht="22.5" customHeight="1">
      <c r="A112" s="105">
        <v>111</v>
      </c>
      <c r="B112" s="105" t="s">
        <v>693</v>
      </c>
      <c r="C112" s="105" t="s">
        <v>694</v>
      </c>
      <c r="D112" s="105" t="s">
        <v>0</v>
      </c>
    </row>
    <row r="113" spans="1:4" ht="22.5" customHeight="1">
      <c r="A113" s="105">
        <v>112</v>
      </c>
      <c r="B113" s="105" t="s">
        <v>695</v>
      </c>
      <c r="C113" s="105" t="s">
        <v>696</v>
      </c>
      <c r="D113" s="105" t="s">
        <v>0</v>
      </c>
    </row>
    <row r="114" spans="1:4" ht="22.5" customHeight="1">
      <c r="A114" s="105">
        <v>113</v>
      </c>
      <c r="B114" s="105" t="s">
        <v>697</v>
      </c>
      <c r="C114" s="105" t="s">
        <v>698</v>
      </c>
      <c r="D114" s="105" t="s">
        <v>0</v>
      </c>
    </row>
    <row r="115" spans="1:4" ht="22.5" customHeight="1">
      <c r="A115" s="105">
        <v>114</v>
      </c>
      <c r="B115" s="105" t="s">
        <v>699</v>
      </c>
      <c r="C115" s="105" t="s">
        <v>700</v>
      </c>
      <c r="D115" s="105" t="s">
        <v>0</v>
      </c>
    </row>
    <row r="116" spans="1:4" ht="22.5" customHeight="1">
      <c r="A116" s="105">
        <v>115</v>
      </c>
      <c r="B116" s="105" t="s">
        <v>701</v>
      </c>
      <c r="C116" s="105" t="s">
        <v>702</v>
      </c>
      <c r="D116" s="105" t="s">
        <v>0</v>
      </c>
    </row>
    <row r="117" spans="1:4" ht="22.5" customHeight="1">
      <c r="A117" s="105">
        <v>116</v>
      </c>
      <c r="B117" s="105" t="s">
        <v>703</v>
      </c>
      <c r="C117" s="105" t="s">
        <v>704</v>
      </c>
      <c r="D117" s="105" t="s">
        <v>0</v>
      </c>
    </row>
    <row r="118" spans="1:4" ht="22.5" customHeight="1">
      <c r="A118" s="105">
        <v>117</v>
      </c>
      <c r="B118" s="105" t="s">
        <v>705</v>
      </c>
      <c r="C118" s="105" t="s">
        <v>706</v>
      </c>
      <c r="D118" s="105" t="s">
        <v>0</v>
      </c>
    </row>
    <row r="119" spans="1:4" ht="22.5" customHeight="1">
      <c r="A119" s="105">
        <v>118</v>
      </c>
      <c r="B119" s="105" t="s">
        <v>707</v>
      </c>
      <c r="C119" s="105" t="s">
        <v>708</v>
      </c>
      <c r="D119" s="105" t="s">
        <v>0</v>
      </c>
    </row>
    <row r="120" spans="1:4" ht="22.5" customHeight="1">
      <c r="A120" s="105">
        <v>119</v>
      </c>
      <c r="B120" s="105" t="s">
        <v>709</v>
      </c>
      <c r="C120" s="105" t="s">
        <v>710</v>
      </c>
      <c r="D120" s="105" t="s">
        <v>0</v>
      </c>
    </row>
    <row r="121" spans="1:4" ht="22.5" customHeight="1">
      <c r="A121" s="105">
        <v>120</v>
      </c>
      <c r="B121" s="105" t="s">
        <v>711</v>
      </c>
      <c r="C121" s="105" t="s">
        <v>712</v>
      </c>
      <c r="D121" s="105" t="s">
        <v>0</v>
      </c>
    </row>
    <row r="122" spans="1:4" ht="22.5" customHeight="1">
      <c r="A122" s="105">
        <v>121</v>
      </c>
      <c r="B122" s="105" t="s">
        <v>713</v>
      </c>
      <c r="C122" s="105" t="s">
        <v>714</v>
      </c>
      <c r="D122" s="105" t="s">
        <v>0</v>
      </c>
    </row>
    <row r="123" spans="1:4" ht="22.5" customHeight="1">
      <c r="A123" s="105">
        <v>122</v>
      </c>
      <c r="B123" s="105" t="s">
        <v>715</v>
      </c>
      <c r="C123" s="105" t="s">
        <v>716</v>
      </c>
      <c r="D123" s="105" t="s">
        <v>0</v>
      </c>
    </row>
    <row r="124" spans="1:4" ht="22.5" customHeight="1">
      <c r="A124" s="105">
        <v>123</v>
      </c>
      <c r="B124" s="105" t="s">
        <v>717</v>
      </c>
      <c r="C124" s="105" t="s">
        <v>718</v>
      </c>
      <c r="D124" s="105" t="s">
        <v>0</v>
      </c>
    </row>
    <row r="125" spans="1:4" ht="22.5" customHeight="1">
      <c r="A125" s="105">
        <v>124</v>
      </c>
      <c r="B125" s="105" t="s">
        <v>719</v>
      </c>
      <c r="C125" s="105" t="s">
        <v>720</v>
      </c>
      <c r="D125" s="105" t="s">
        <v>0</v>
      </c>
    </row>
    <row r="126" spans="1:4" ht="22.5" customHeight="1">
      <c r="A126" s="105">
        <v>125</v>
      </c>
      <c r="B126" s="105" t="s">
        <v>721</v>
      </c>
      <c r="C126" s="105" t="s">
        <v>722</v>
      </c>
      <c r="D126" s="105" t="s">
        <v>0</v>
      </c>
    </row>
    <row r="127" spans="1:4" ht="22.5" customHeight="1">
      <c r="A127" s="105">
        <v>126</v>
      </c>
      <c r="B127" s="105" t="s">
        <v>723</v>
      </c>
      <c r="C127" s="105" t="s">
        <v>724</v>
      </c>
      <c r="D127" s="105" t="s">
        <v>0</v>
      </c>
    </row>
    <row r="128" spans="1:4" ht="22.5" customHeight="1">
      <c r="A128" s="105">
        <v>127</v>
      </c>
      <c r="B128" s="105" t="s">
        <v>725</v>
      </c>
      <c r="C128" s="105" t="s">
        <v>726</v>
      </c>
      <c r="D128" s="105" t="s">
        <v>0</v>
      </c>
    </row>
    <row r="129" spans="1:4" ht="22.5" customHeight="1">
      <c r="A129" s="105">
        <v>128</v>
      </c>
      <c r="B129" s="105" t="s">
        <v>727</v>
      </c>
      <c r="C129" s="105" t="s">
        <v>728</v>
      </c>
      <c r="D129" s="105" t="s">
        <v>0</v>
      </c>
    </row>
    <row r="130" spans="1:4" ht="22.5" customHeight="1">
      <c r="A130" s="105">
        <v>129</v>
      </c>
      <c r="B130" s="105" t="s">
        <v>729</v>
      </c>
      <c r="C130" s="105"/>
      <c r="D130" s="105" t="s">
        <v>0</v>
      </c>
    </row>
    <row r="131" spans="1:4" ht="22.5" customHeight="1">
      <c r="A131" s="105">
        <v>130</v>
      </c>
      <c r="B131" s="105" t="s">
        <v>730</v>
      </c>
      <c r="C131" s="105" t="s">
        <v>731</v>
      </c>
      <c r="D131" s="105" t="s">
        <v>0</v>
      </c>
    </row>
    <row r="132" spans="1:4" ht="22.5" customHeight="1">
      <c r="A132" s="105">
        <v>131</v>
      </c>
      <c r="B132" s="105" t="s">
        <v>732</v>
      </c>
      <c r="C132" s="105" t="s">
        <v>733</v>
      </c>
      <c r="D132" s="105" t="s">
        <v>0</v>
      </c>
    </row>
    <row r="133" spans="1:4" ht="22.5" customHeight="1">
      <c r="A133" s="105">
        <v>132</v>
      </c>
      <c r="B133" s="105" t="s">
        <v>734</v>
      </c>
      <c r="C133" s="105" t="s">
        <v>735</v>
      </c>
      <c r="D133" s="105" t="s">
        <v>0</v>
      </c>
    </row>
    <row r="134" spans="1:4" ht="22.5" customHeight="1">
      <c r="A134" s="105">
        <v>133</v>
      </c>
      <c r="B134" s="105" t="s">
        <v>736</v>
      </c>
      <c r="C134" s="105" t="s">
        <v>737</v>
      </c>
      <c r="D134" s="105" t="s">
        <v>0</v>
      </c>
    </row>
    <row r="135" spans="1:4" ht="22.5" customHeight="1">
      <c r="A135" s="105">
        <v>134</v>
      </c>
      <c r="B135" s="105" t="s">
        <v>738</v>
      </c>
      <c r="C135" s="105" t="s">
        <v>739</v>
      </c>
      <c r="D135" s="105" t="s">
        <v>0</v>
      </c>
    </row>
    <row r="136" spans="1:4" ht="22.5" customHeight="1">
      <c r="A136" s="105">
        <v>135</v>
      </c>
      <c r="B136" s="105" t="s">
        <v>740</v>
      </c>
      <c r="C136" s="105" t="s">
        <v>741</v>
      </c>
      <c r="D136" s="105" t="s">
        <v>0</v>
      </c>
    </row>
    <row r="137" spans="1:4" ht="22.5" customHeight="1">
      <c r="A137" s="105">
        <v>136</v>
      </c>
      <c r="B137" s="105" t="s">
        <v>742</v>
      </c>
      <c r="C137" s="105" t="s">
        <v>743</v>
      </c>
      <c r="D137" s="105" t="s">
        <v>0</v>
      </c>
    </row>
    <row r="138" spans="1:4" ht="22.5" customHeight="1">
      <c r="A138" s="105">
        <v>137</v>
      </c>
      <c r="B138" s="105" t="s">
        <v>744</v>
      </c>
      <c r="C138" s="105" t="s">
        <v>745</v>
      </c>
      <c r="D138" s="105" t="s">
        <v>0</v>
      </c>
    </row>
    <row r="139" spans="1:4" ht="22.5" customHeight="1">
      <c r="A139" s="105">
        <v>138</v>
      </c>
      <c r="B139" s="105" t="s">
        <v>746</v>
      </c>
      <c r="C139" s="105" t="s">
        <v>747</v>
      </c>
      <c r="D139" s="105" t="s">
        <v>0</v>
      </c>
    </row>
    <row r="140" spans="1:4" ht="22.5" customHeight="1">
      <c r="A140" s="105">
        <v>139</v>
      </c>
      <c r="B140" s="105" t="s">
        <v>748</v>
      </c>
      <c r="C140" s="105" t="s">
        <v>749</v>
      </c>
      <c r="D140" s="105" t="s">
        <v>0</v>
      </c>
    </row>
    <row r="141" spans="1:4" ht="22.5" customHeight="1">
      <c r="A141" s="105">
        <v>140</v>
      </c>
      <c r="B141" s="105" t="s">
        <v>750</v>
      </c>
      <c r="C141" s="105" t="s">
        <v>751</v>
      </c>
      <c r="D141" s="105" t="s">
        <v>0</v>
      </c>
    </row>
    <row r="142" spans="1:4" ht="22.5" customHeight="1">
      <c r="A142" s="105">
        <v>141</v>
      </c>
      <c r="B142" s="105" t="s">
        <v>752</v>
      </c>
      <c r="C142" s="105" t="s">
        <v>753</v>
      </c>
      <c r="D142" s="105" t="s">
        <v>0</v>
      </c>
    </row>
    <row r="143" spans="1:4" ht="22.5" customHeight="1">
      <c r="A143" s="105">
        <v>142</v>
      </c>
      <c r="B143" s="105" t="s">
        <v>754</v>
      </c>
      <c r="C143" s="105" t="s">
        <v>755</v>
      </c>
      <c r="D143" s="105" t="s">
        <v>0</v>
      </c>
    </row>
    <row r="144" spans="1:4" ht="22.5" customHeight="1">
      <c r="A144" s="105">
        <v>143</v>
      </c>
      <c r="B144" s="105" t="s">
        <v>756</v>
      </c>
      <c r="C144" s="105" t="s">
        <v>757</v>
      </c>
      <c r="D144" s="105" t="s">
        <v>0</v>
      </c>
    </row>
    <row r="145" spans="1:4" ht="22.5" customHeight="1">
      <c r="A145" s="105">
        <v>144</v>
      </c>
      <c r="B145" s="105" t="s">
        <v>758</v>
      </c>
      <c r="C145" s="105" t="s">
        <v>759</v>
      </c>
      <c r="D145" s="105" t="s">
        <v>0</v>
      </c>
    </row>
    <row r="146" spans="1:4" ht="22.5" customHeight="1">
      <c r="A146" s="105">
        <v>145</v>
      </c>
      <c r="B146" s="105" t="s">
        <v>760</v>
      </c>
      <c r="C146" s="105" t="s">
        <v>761</v>
      </c>
      <c r="D146" s="105" t="s">
        <v>0</v>
      </c>
    </row>
    <row r="147" spans="1:4" ht="22.5" customHeight="1">
      <c r="A147" s="105">
        <v>146</v>
      </c>
      <c r="B147" s="105" t="s">
        <v>762</v>
      </c>
      <c r="C147" s="105" t="s">
        <v>763</v>
      </c>
      <c r="D147" s="105" t="s">
        <v>0</v>
      </c>
    </row>
    <row r="148" spans="1:4" ht="22.5" customHeight="1">
      <c r="A148" s="105">
        <v>147</v>
      </c>
      <c r="B148" s="105" t="s">
        <v>764</v>
      </c>
      <c r="C148" s="105" t="s">
        <v>765</v>
      </c>
      <c r="D148" s="105" t="s">
        <v>0</v>
      </c>
    </row>
    <row r="149" spans="1:4" ht="22.5" customHeight="1">
      <c r="A149" s="105">
        <v>148</v>
      </c>
      <c r="B149" s="105" t="s">
        <v>766</v>
      </c>
      <c r="C149" s="105" t="s">
        <v>767</v>
      </c>
      <c r="D149" s="105" t="s">
        <v>0</v>
      </c>
    </row>
    <row r="150" spans="1:4" ht="22.5" customHeight="1">
      <c r="A150" s="105">
        <v>149</v>
      </c>
      <c r="B150" s="105" t="s">
        <v>768</v>
      </c>
      <c r="C150" s="105" t="s">
        <v>769</v>
      </c>
      <c r="D150" s="105" t="s">
        <v>0</v>
      </c>
    </row>
    <row r="151" spans="1:4" ht="22.5" customHeight="1">
      <c r="A151" s="105">
        <v>150</v>
      </c>
      <c r="B151" s="105" t="s">
        <v>770</v>
      </c>
      <c r="C151" s="105" t="s">
        <v>771</v>
      </c>
      <c r="D151" s="105" t="s">
        <v>0</v>
      </c>
    </row>
    <row r="152" spans="1:4" ht="22.5" customHeight="1">
      <c r="A152" s="105">
        <v>151</v>
      </c>
      <c r="B152" s="105" t="s">
        <v>772</v>
      </c>
      <c r="C152" s="105" t="s">
        <v>773</v>
      </c>
      <c r="D152" s="105" t="s">
        <v>0</v>
      </c>
    </row>
    <row r="153" spans="1:4" ht="22.5" customHeight="1">
      <c r="A153" s="105">
        <v>152</v>
      </c>
      <c r="B153" s="105" t="s">
        <v>774</v>
      </c>
      <c r="C153" s="105" t="s">
        <v>775</v>
      </c>
      <c r="D153" s="105" t="s">
        <v>0</v>
      </c>
    </row>
    <row r="154" spans="1:4" ht="22.5" customHeight="1">
      <c r="A154" s="105">
        <v>153</v>
      </c>
      <c r="B154" s="105" t="s">
        <v>776</v>
      </c>
      <c r="C154" s="105" t="s">
        <v>777</v>
      </c>
      <c r="D154" s="105" t="s">
        <v>0</v>
      </c>
    </row>
    <row r="155" spans="1:4" ht="22.5" customHeight="1">
      <c r="A155" s="105">
        <v>154</v>
      </c>
      <c r="B155" s="105" t="s">
        <v>778</v>
      </c>
      <c r="C155" s="105" t="s">
        <v>779</v>
      </c>
      <c r="D155" s="105" t="s">
        <v>0</v>
      </c>
    </row>
    <row r="156" spans="1:4" ht="22.5" customHeight="1">
      <c r="A156" s="105">
        <v>155</v>
      </c>
      <c r="B156" s="105" t="s">
        <v>780</v>
      </c>
      <c r="C156" s="105" t="s">
        <v>781</v>
      </c>
      <c r="D156" s="105" t="s">
        <v>0</v>
      </c>
    </row>
    <row r="157" spans="1:4" ht="22.5" customHeight="1">
      <c r="A157" s="105">
        <v>156</v>
      </c>
      <c r="B157" s="105" t="s">
        <v>782</v>
      </c>
      <c r="C157" s="105" t="s">
        <v>783</v>
      </c>
      <c r="D157" s="105" t="s">
        <v>0</v>
      </c>
    </row>
    <row r="158" spans="1:4" ht="22.5" customHeight="1">
      <c r="A158" s="105">
        <v>157</v>
      </c>
      <c r="B158" s="105" t="s">
        <v>784</v>
      </c>
      <c r="C158" s="105" t="s">
        <v>785</v>
      </c>
      <c r="D158" s="105" t="s">
        <v>0</v>
      </c>
    </row>
    <row r="159" spans="1:4" ht="22.5" customHeight="1">
      <c r="A159" s="105">
        <v>158</v>
      </c>
      <c r="B159" s="105" t="s">
        <v>786</v>
      </c>
      <c r="C159" s="105" t="s">
        <v>787</v>
      </c>
      <c r="D159" s="105" t="s">
        <v>0</v>
      </c>
    </row>
    <row r="160" spans="1:4" ht="22.5" customHeight="1">
      <c r="A160" s="105">
        <v>159</v>
      </c>
      <c r="B160" s="105" t="s">
        <v>788</v>
      </c>
      <c r="C160" s="105" t="s">
        <v>789</v>
      </c>
      <c r="D160" s="105" t="s">
        <v>0</v>
      </c>
    </row>
    <row r="161" spans="1:4" ht="22.5" customHeight="1">
      <c r="A161" s="105">
        <v>160</v>
      </c>
      <c r="B161" s="106" t="s">
        <v>790</v>
      </c>
      <c r="C161" s="105" t="s">
        <v>791</v>
      </c>
      <c r="D161" s="105" t="s">
        <v>0</v>
      </c>
    </row>
    <row r="162" spans="1:4" ht="22.5" customHeight="1">
      <c r="A162" s="105">
        <v>161</v>
      </c>
      <c r="B162" s="105" t="s">
        <v>792</v>
      </c>
      <c r="C162" s="105" t="s">
        <v>793</v>
      </c>
      <c r="D162" s="105" t="s">
        <v>0</v>
      </c>
    </row>
    <row r="163" spans="1:4" ht="22.5" customHeight="1">
      <c r="A163" s="105">
        <v>162</v>
      </c>
      <c r="B163" s="105" t="s">
        <v>794</v>
      </c>
      <c r="C163" s="105" t="s">
        <v>795</v>
      </c>
      <c r="D163" s="105" t="s">
        <v>0</v>
      </c>
    </row>
    <row r="164" spans="1:4" ht="22.5" customHeight="1">
      <c r="A164" s="105">
        <v>163</v>
      </c>
      <c r="B164" s="105" t="s">
        <v>796</v>
      </c>
      <c r="C164" s="105" t="s">
        <v>797</v>
      </c>
      <c r="D164" s="105" t="s">
        <v>0</v>
      </c>
    </row>
    <row r="165" spans="1:4" ht="22.5" customHeight="1">
      <c r="A165" s="105">
        <v>164</v>
      </c>
      <c r="B165" s="105" t="s">
        <v>798</v>
      </c>
      <c r="C165" s="105" t="s">
        <v>799</v>
      </c>
      <c r="D165" s="105" t="s">
        <v>0</v>
      </c>
    </row>
    <row r="166" spans="1:4" ht="22.5" customHeight="1">
      <c r="A166" s="105">
        <v>165</v>
      </c>
      <c r="B166" s="105" t="s">
        <v>800</v>
      </c>
      <c r="C166" s="105" t="s">
        <v>801</v>
      </c>
      <c r="D166" s="105" t="s">
        <v>0</v>
      </c>
    </row>
    <row r="167" spans="1:4" ht="22.5" customHeight="1">
      <c r="A167" s="105">
        <v>166</v>
      </c>
      <c r="B167" s="105" t="s">
        <v>802</v>
      </c>
      <c r="C167" s="105" t="s">
        <v>803</v>
      </c>
      <c r="D167" s="105" t="s">
        <v>0</v>
      </c>
    </row>
    <row r="168" spans="1:4" ht="22.5" customHeight="1">
      <c r="A168" s="105">
        <v>167</v>
      </c>
      <c r="B168" s="105" t="s">
        <v>804</v>
      </c>
      <c r="C168" s="105" t="s">
        <v>805</v>
      </c>
      <c r="D168" s="105" t="s">
        <v>0</v>
      </c>
    </row>
    <row r="169" spans="1:4" ht="22.5" customHeight="1">
      <c r="A169" s="105">
        <v>168</v>
      </c>
      <c r="B169" s="105" t="s">
        <v>806</v>
      </c>
      <c r="C169" s="105" t="s">
        <v>807</v>
      </c>
      <c r="D169" s="105" t="s">
        <v>0</v>
      </c>
    </row>
    <row r="170" spans="1:4" ht="22.5" customHeight="1">
      <c r="A170" s="105">
        <v>169</v>
      </c>
      <c r="B170" s="105" t="s">
        <v>808</v>
      </c>
      <c r="C170" s="105" t="s">
        <v>809</v>
      </c>
      <c r="D170" s="105" t="s">
        <v>0</v>
      </c>
    </row>
    <row r="171" spans="1:4" ht="22.5" customHeight="1">
      <c r="A171" s="105">
        <v>170</v>
      </c>
      <c r="B171" s="105" t="s">
        <v>810</v>
      </c>
      <c r="C171" s="105" t="s">
        <v>811</v>
      </c>
      <c r="D171" s="105" t="s">
        <v>0</v>
      </c>
    </row>
    <row r="172" spans="1:4" ht="22.5" customHeight="1">
      <c r="A172" s="105">
        <v>171</v>
      </c>
      <c r="B172" s="105" t="s">
        <v>812</v>
      </c>
      <c r="C172" s="105" t="s">
        <v>813</v>
      </c>
      <c r="D172" s="105" t="s">
        <v>0</v>
      </c>
    </row>
    <row r="173" spans="1:4" ht="22.5" customHeight="1">
      <c r="A173" s="105">
        <v>172</v>
      </c>
      <c r="B173" s="105" t="s">
        <v>814</v>
      </c>
      <c r="C173" s="105" t="s">
        <v>815</v>
      </c>
      <c r="D173" s="105" t="s">
        <v>0</v>
      </c>
    </row>
    <row r="174" spans="1:4" ht="22.5" customHeight="1">
      <c r="A174" s="105">
        <v>173</v>
      </c>
      <c r="B174" s="105" t="s">
        <v>816</v>
      </c>
      <c r="C174" s="105" t="s">
        <v>817</v>
      </c>
      <c r="D174" s="105" t="s">
        <v>0</v>
      </c>
    </row>
    <row r="175" spans="1:4" ht="22.5" customHeight="1">
      <c r="A175" s="105">
        <v>174</v>
      </c>
      <c r="B175" s="105" t="s">
        <v>818</v>
      </c>
      <c r="C175" s="105" t="s">
        <v>819</v>
      </c>
      <c r="D175" s="105" t="s">
        <v>0</v>
      </c>
    </row>
    <row r="176" spans="1:4" ht="22.5" customHeight="1">
      <c r="A176" s="105">
        <v>175</v>
      </c>
      <c r="B176" s="105" t="s">
        <v>820</v>
      </c>
      <c r="C176" s="105" t="s">
        <v>821</v>
      </c>
      <c r="D176" s="105" t="s">
        <v>0</v>
      </c>
    </row>
    <row r="177" spans="1:4" ht="22.5" customHeight="1">
      <c r="A177" s="105">
        <v>176</v>
      </c>
      <c r="B177" s="105" t="s">
        <v>822</v>
      </c>
      <c r="C177" s="105" t="s">
        <v>823</v>
      </c>
      <c r="D177" s="105" t="s">
        <v>0</v>
      </c>
    </row>
    <row r="178" spans="1:4" ht="22.5" customHeight="1">
      <c r="A178" s="105">
        <v>177</v>
      </c>
      <c r="B178" s="105" t="s">
        <v>824</v>
      </c>
      <c r="C178" s="105" t="s">
        <v>825</v>
      </c>
      <c r="D178" s="105" t="s">
        <v>0</v>
      </c>
    </row>
    <row r="179" spans="1:4" ht="22.5" customHeight="1">
      <c r="A179" s="105">
        <v>178</v>
      </c>
      <c r="B179" s="105" t="s">
        <v>826</v>
      </c>
      <c r="C179" s="105" t="s">
        <v>827</v>
      </c>
      <c r="D179" s="105" t="s">
        <v>0</v>
      </c>
    </row>
    <row r="180" spans="1:4" ht="22.5" customHeight="1">
      <c r="A180" s="105">
        <v>179</v>
      </c>
      <c r="B180" s="105" t="s">
        <v>828</v>
      </c>
      <c r="C180" s="105" t="s">
        <v>829</v>
      </c>
      <c r="D180" s="105" t="s">
        <v>0</v>
      </c>
    </row>
    <row r="181" spans="1:4" ht="22.5" customHeight="1">
      <c r="A181" s="105">
        <v>180</v>
      </c>
      <c r="B181" s="105" t="s">
        <v>830</v>
      </c>
      <c r="C181" s="105" t="s">
        <v>831</v>
      </c>
      <c r="D181" s="105" t="s">
        <v>0</v>
      </c>
    </row>
    <row r="182" spans="1:4" ht="22.5" customHeight="1">
      <c r="A182" s="105">
        <v>181</v>
      </c>
      <c r="B182" s="105" t="s">
        <v>832</v>
      </c>
      <c r="C182" s="105" t="s">
        <v>833</v>
      </c>
      <c r="D182" s="105" t="s">
        <v>0</v>
      </c>
    </row>
    <row r="183" spans="1:4" ht="22.5" customHeight="1">
      <c r="A183" s="105">
        <v>182</v>
      </c>
      <c r="B183" s="105" t="s">
        <v>834</v>
      </c>
      <c r="C183" s="105" t="s">
        <v>835</v>
      </c>
      <c r="D183" s="105" t="s">
        <v>0</v>
      </c>
    </row>
    <row r="184" spans="1:4" ht="22.5" customHeight="1">
      <c r="A184" s="105">
        <v>183</v>
      </c>
      <c r="B184" s="105" t="s">
        <v>836</v>
      </c>
      <c r="C184" s="105" t="s">
        <v>837</v>
      </c>
      <c r="D184" s="105" t="s">
        <v>0</v>
      </c>
    </row>
    <row r="185" spans="1:4" ht="22.5" customHeight="1">
      <c r="A185" s="105">
        <v>184</v>
      </c>
      <c r="B185" s="105" t="s">
        <v>838</v>
      </c>
      <c r="C185" s="105" t="s">
        <v>839</v>
      </c>
      <c r="D185" s="105" t="s">
        <v>0</v>
      </c>
    </row>
    <row r="186" spans="1:4" ht="22.5" customHeight="1">
      <c r="A186" s="105">
        <v>185</v>
      </c>
      <c r="B186" s="105" t="s">
        <v>840</v>
      </c>
      <c r="C186" s="105" t="s">
        <v>841</v>
      </c>
      <c r="D186" s="105" t="s">
        <v>0</v>
      </c>
    </row>
    <row r="187" spans="1:4" ht="22.5" customHeight="1">
      <c r="A187" s="105">
        <v>186</v>
      </c>
      <c r="B187" s="105" t="s">
        <v>842</v>
      </c>
      <c r="C187" s="105" t="s">
        <v>843</v>
      </c>
      <c r="D187" s="105" t="s">
        <v>0</v>
      </c>
    </row>
    <row r="188" spans="1:4" ht="22.5" customHeight="1">
      <c r="A188" s="105">
        <v>187</v>
      </c>
      <c r="B188" s="105" t="s">
        <v>844</v>
      </c>
      <c r="C188" s="105" t="s">
        <v>845</v>
      </c>
      <c r="D188" s="105" t="s">
        <v>0</v>
      </c>
    </row>
    <row r="189" spans="1:4" ht="22.5" customHeight="1">
      <c r="A189" s="105">
        <v>188</v>
      </c>
      <c r="B189" s="105" t="s">
        <v>846</v>
      </c>
      <c r="C189" s="105" t="s">
        <v>847</v>
      </c>
      <c r="D189" s="105" t="s">
        <v>0</v>
      </c>
    </row>
    <row r="190" spans="1:4" ht="22.5" customHeight="1">
      <c r="A190" s="105">
        <v>189</v>
      </c>
      <c r="B190" s="105" t="s">
        <v>848</v>
      </c>
      <c r="C190" s="105" t="s">
        <v>849</v>
      </c>
      <c r="D190" s="34"/>
    </row>
    <row r="191" spans="1:4" ht="22.5" customHeight="1">
      <c r="A191" s="105">
        <v>190</v>
      </c>
      <c r="B191" s="105" t="s">
        <v>850</v>
      </c>
      <c r="C191" s="105" t="s">
        <v>851</v>
      </c>
      <c r="D191" s="105" t="s">
        <v>0</v>
      </c>
    </row>
    <row r="192" spans="1:4" ht="22.5" customHeight="1">
      <c r="A192" s="105">
        <v>191</v>
      </c>
      <c r="B192" s="105" t="s">
        <v>852</v>
      </c>
      <c r="C192" s="105" t="s">
        <v>853</v>
      </c>
      <c r="D192" s="105" t="s">
        <v>0</v>
      </c>
    </row>
    <row r="193" spans="1:4" ht="22.5" customHeight="1">
      <c r="A193" s="105">
        <v>192</v>
      </c>
      <c r="B193" s="105" t="s">
        <v>854</v>
      </c>
      <c r="C193" s="105" t="s">
        <v>855</v>
      </c>
      <c r="D193" s="105" t="s">
        <v>0</v>
      </c>
    </row>
    <row r="194" spans="1:4" ht="22.5" customHeight="1">
      <c r="A194" s="105">
        <v>193</v>
      </c>
      <c r="B194" s="105" t="s">
        <v>856</v>
      </c>
      <c r="C194" s="105" t="s">
        <v>857</v>
      </c>
      <c r="D194" s="105" t="s">
        <v>0</v>
      </c>
    </row>
    <row r="195" spans="1:4" ht="22.5" customHeight="1">
      <c r="A195" s="105">
        <v>194</v>
      </c>
      <c r="B195" s="105" t="s">
        <v>858</v>
      </c>
      <c r="C195" s="105" t="s">
        <v>859</v>
      </c>
      <c r="D195" s="105" t="s">
        <v>0</v>
      </c>
    </row>
    <row r="196" spans="1:4" ht="22.5" customHeight="1">
      <c r="A196" s="105">
        <v>195</v>
      </c>
      <c r="B196" s="105" t="s">
        <v>860</v>
      </c>
      <c r="C196" s="105" t="s">
        <v>861</v>
      </c>
      <c r="D196" s="105" t="s">
        <v>0</v>
      </c>
    </row>
    <row r="197" spans="1:4" ht="22.5" customHeight="1">
      <c r="A197" s="105">
        <v>196</v>
      </c>
      <c r="B197" s="105" t="s">
        <v>862</v>
      </c>
      <c r="C197" s="105" t="s">
        <v>863</v>
      </c>
      <c r="D197" s="105" t="s">
        <v>0</v>
      </c>
    </row>
    <row r="198" spans="1:4" ht="22.5" customHeight="1">
      <c r="A198" s="105">
        <v>197</v>
      </c>
      <c r="B198" s="105" t="s">
        <v>864</v>
      </c>
      <c r="C198" s="105" t="s">
        <v>865</v>
      </c>
      <c r="D198" s="105" t="s">
        <v>0</v>
      </c>
    </row>
    <row r="199" spans="1:4" ht="22.5" customHeight="1">
      <c r="A199" s="105">
        <v>198</v>
      </c>
      <c r="B199" s="105" t="s">
        <v>866</v>
      </c>
      <c r="C199" s="105" t="s">
        <v>867</v>
      </c>
      <c r="D199" s="105" t="s">
        <v>0</v>
      </c>
    </row>
    <row r="200" spans="1:4" ht="22.5" customHeight="1">
      <c r="A200" s="105">
        <v>199</v>
      </c>
      <c r="B200" s="105" t="s">
        <v>868</v>
      </c>
      <c r="C200" s="105" t="s">
        <v>869</v>
      </c>
      <c r="D200" s="105" t="s">
        <v>0</v>
      </c>
    </row>
    <row r="201" spans="1:4" ht="22.5" customHeight="1">
      <c r="A201" s="105">
        <v>200</v>
      </c>
      <c r="B201" s="105" t="s">
        <v>870</v>
      </c>
      <c r="C201" s="105" t="s">
        <v>871</v>
      </c>
      <c r="D201" s="105" t="s">
        <v>0</v>
      </c>
    </row>
    <row r="202" spans="1:4" ht="22.5" customHeight="1">
      <c r="A202" s="105">
        <v>201</v>
      </c>
      <c r="B202" s="105" t="s">
        <v>872</v>
      </c>
      <c r="C202" s="105" t="s">
        <v>873</v>
      </c>
      <c r="D202" s="105" t="s">
        <v>0</v>
      </c>
    </row>
    <row r="203" spans="1:4" ht="22.5" customHeight="1">
      <c r="A203" s="105">
        <v>202</v>
      </c>
      <c r="B203" s="105" t="s">
        <v>874</v>
      </c>
      <c r="C203" s="105" t="s">
        <v>875</v>
      </c>
      <c r="D203" s="105" t="s">
        <v>0</v>
      </c>
    </row>
    <row r="204" spans="1:4" ht="22.5" customHeight="1">
      <c r="A204" s="105">
        <v>203</v>
      </c>
      <c r="B204" s="105" t="s">
        <v>876</v>
      </c>
      <c r="C204" s="105" t="s">
        <v>877</v>
      </c>
      <c r="D204" s="105" t="s">
        <v>0</v>
      </c>
    </row>
    <row r="205" spans="1:4" ht="22.5" customHeight="1">
      <c r="A205" s="105">
        <v>204</v>
      </c>
      <c r="B205" s="105" t="s">
        <v>878</v>
      </c>
      <c r="C205" s="105" t="s">
        <v>879</v>
      </c>
      <c r="D205" s="105" t="s">
        <v>0</v>
      </c>
    </row>
    <row r="206" spans="1:4" ht="22.5" customHeight="1">
      <c r="A206" s="105">
        <v>205</v>
      </c>
      <c r="B206" s="105" t="s">
        <v>880</v>
      </c>
      <c r="C206" s="105" t="s">
        <v>881</v>
      </c>
      <c r="D206" s="105" t="s">
        <v>0</v>
      </c>
    </row>
    <row r="207" spans="1:4" ht="22.5" customHeight="1">
      <c r="A207" s="105">
        <v>206</v>
      </c>
      <c r="B207" s="105" t="s">
        <v>882</v>
      </c>
      <c r="C207" s="105" t="s">
        <v>883</v>
      </c>
      <c r="D207" s="105" t="s">
        <v>0</v>
      </c>
    </row>
    <row r="208" spans="1:4" ht="22.5" customHeight="1">
      <c r="A208" s="105">
        <v>207</v>
      </c>
      <c r="B208" s="105" t="s">
        <v>884</v>
      </c>
      <c r="C208" s="105" t="s">
        <v>885</v>
      </c>
      <c r="D208" s="34"/>
    </row>
    <row r="209" spans="1:4" ht="22.5" customHeight="1">
      <c r="A209" s="105">
        <v>208</v>
      </c>
      <c r="B209" s="105" t="s">
        <v>886</v>
      </c>
      <c r="C209" s="105" t="s">
        <v>887</v>
      </c>
      <c r="D209" s="105" t="s">
        <v>0</v>
      </c>
    </row>
    <row r="210" spans="1:4" ht="22.5" customHeight="1">
      <c r="A210" s="105">
        <v>209</v>
      </c>
      <c r="B210" s="105" t="s">
        <v>888</v>
      </c>
      <c r="C210" s="105" t="s">
        <v>889</v>
      </c>
      <c r="D210" s="105" t="s">
        <v>0</v>
      </c>
    </row>
    <row r="211" spans="1:4" ht="22.5" customHeight="1">
      <c r="A211" s="105">
        <v>210</v>
      </c>
      <c r="B211" s="105" t="s">
        <v>890</v>
      </c>
      <c r="C211" s="105" t="s">
        <v>891</v>
      </c>
      <c r="D211" s="105" t="s">
        <v>0</v>
      </c>
    </row>
    <row r="212" spans="1:4" ht="22.5" customHeight="1">
      <c r="A212" s="105">
        <v>211</v>
      </c>
      <c r="B212" s="105" t="s">
        <v>892</v>
      </c>
      <c r="C212" s="105" t="s">
        <v>893</v>
      </c>
      <c r="D212" s="105" t="s">
        <v>0</v>
      </c>
    </row>
    <row r="213" spans="1:4" ht="22.5" customHeight="1">
      <c r="A213" s="105">
        <v>212</v>
      </c>
      <c r="B213" s="105" t="s">
        <v>894</v>
      </c>
      <c r="C213" s="105" t="s">
        <v>895</v>
      </c>
      <c r="D213" s="105" t="s">
        <v>0</v>
      </c>
    </row>
    <row r="214" spans="1:4" ht="22.5" customHeight="1">
      <c r="A214" s="105">
        <v>213</v>
      </c>
      <c r="B214" s="105" t="s">
        <v>896</v>
      </c>
      <c r="C214" s="105" t="s">
        <v>897</v>
      </c>
      <c r="D214" s="105" t="s">
        <v>0</v>
      </c>
    </row>
    <row r="215" spans="1:4" ht="22.5" customHeight="1">
      <c r="A215" s="105">
        <v>214</v>
      </c>
      <c r="B215" s="105" t="s">
        <v>898</v>
      </c>
      <c r="C215" s="105" t="s">
        <v>899</v>
      </c>
      <c r="D215" s="105" t="s">
        <v>0</v>
      </c>
    </row>
    <row r="216" spans="1:4" ht="22.5" customHeight="1">
      <c r="A216" s="105">
        <v>215</v>
      </c>
      <c r="B216" s="105" t="s">
        <v>900</v>
      </c>
      <c r="C216" s="105" t="s">
        <v>901</v>
      </c>
      <c r="D216" s="105" t="s">
        <v>0</v>
      </c>
    </row>
    <row r="217" spans="1:4" ht="22.5" customHeight="1">
      <c r="A217" s="105">
        <v>216</v>
      </c>
      <c r="B217" s="105" t="s">
        <v>902</v>
      </c>
      <c r="C217" s="105" t="s">
        <v>903</v>
      </c>
      <c r="D217" s="105" t="s">
        <v>0</v>
      </c>
    </row>
    <row r="218" spans="1:4" ht="22.5" customHeight="1">
      <c r="A218" s="105">
        <v>217</v>
      </c>
      <c r="B218" s="105" t="s">
        <v>904</v>
      </c>
      <c r="C218" s="105" t="s">
        <v>905</v>
      </c>
      <c r="D218" s="105" t="s">
        <v>0</v>
      </c>
    </row>
    <row r="219" spans="1:4" ht="22.5" customHeight="1">
      <c r="A219" s="105">
        <v>218</v>
      </c>
      <c r="B219" s="105" t="s">
        <v>906</v>
      </c>
      <c r="C219" s="105" t="s">
        <v>907</v>
      </c>
      <c r="D219" s="105" t="s">
        <v>0</v>
      </c>
    </row>
    <row r="220" spans="1:4" ht="22.5" customHeight="1">
      <c r="A220" s="105">
        <v>219</v>
      </c>
      <c r="B220" s="105" t="s">
        <v>908</v>
      </c>
      <c r="C220" s="105" t="s">
        <v>909</v>
      </c>
      <c r="D220" s="105" t="s">
        <v>0</v>
      </c>
    </row>
    <row r="221" spans="1:4" ht="22.5" customHeight="1">
      <c r="A221" s="105">
        <v>220</v>
      </c>
      <c r="B221" s="105" t="s">
        <v>910</v>
      </c>
      <c r="C221" s="105" t="s">
        <v>911</v>
      </c>
      <c r="D221" s="105" t="s">
        <v>0</v>
      </c>
    </row>
    <row r="222" spans="1:4" ht="22.5" customHeight="1">
      <c r="A222" s="105">
        <v>221</v>
      </c>
      <c r="B222" s="105" t="s">
        <v>912</v>
      </c>
      <c r="C222" s="105" t="s">
        <v>913</v>
      </c>
      <c r="D222" s="105" t="s">
        <v>0</v>
      </c>
    </row>
    <row r="223" spans="1:4" ht="22.5" customHeight="1">
      <c r="A223" s="105">
        <v>222</v>
      </c>
      <c r="B223" s="105" t="s">
        <v>914</v>
      </c>
      <c r="C223" s="105" t="s">
        <v>915</v>
      </c>
      <c r="D223" s="105" t="s">
        <v>0</v>
      </c>
    </row>
    <row r="224" spans="1:4" ht="22.5" customHeight="1">
      <c r="A224" s="105">
        <v>223</v>
      </c>
      <c r="B224" s="105" t="s">
        <v>916</v>
      </c>
      <c r="C224" s="105" t="s">
        <v>917</v>
      </c>
      <c r="D224" s="105" t="s">
        <v>0</v>
      </c>
    </row>
    <row r="225" spans="1:4" ht="22.5" customHeight="1">
      <c r="A225" s="105">
        <v>224</v>
      </c>
      <c r="B225" s="105" t="s">
        <v>918</v>
      </c>
      <c r="C225" s="105" t="s">
        <v>919</v>
      </c>
      <c r="D225" s="105" t="s">
        <v>0</v>
      </c>
    </row>
    <row r="226" spans="1:4" ht="22.5" customHeight="1">
      <c r="A226" s="105">
        <v>225</v>
      </c>
      <c r="B226" s="105" t="s">
        <v>920</v>
      </c>
      <c r="C226" s="105" t="s">
        <v>921</v>
      </c>
      <c r="D226" s="105" t="s">
        <v>0</v>
      </c>
    </row>
    <row r="227" spans="1:4" ht="22.5" customHeight="1">
      <c r="A227" s="105">
        <v>226</v>
      </c>
      <c r="B227" s="105" t="s">
        <v>922</v>
      </c>
      <c r="C227" s="105" t="s">
        <v>923</v>
      </c>
      <c r="D227" s="105" t="s">
        <v>0</v>
      </c>
    </row>
    <row r="228" spans="1:4" ht="22.5" customHeight="1">
      <c r="A228" s="105">
        <v>227</v>
      </c>
      <c r="B228" s="105" t="s">
        <v>924</v>
      </c>
      <c r="C228" s="105" t="s">
        <v>925</v>
      </c>
      <c r="D228" s="105" t="s">
        <v>0</v>
      </c>
    </row>
    <row r="229" spans="1:4" ht="22.5" customHeight="1">
      <c r="A229" s="105">
        <v>228</v>
      </c>
      <c r="B229" s="105" t="s">
        <v>926</v>
      </c>
      <c r="C229" s="105" t="s">
        <v>927</v>
      </c>
      <c r="D229" s="105" t="s">
        <v>0</v>
      </c>
    </row>
    <row r="230" spans="1:4" ht="22.5" customHeight="1">
      <c r="A230" s="105">
        <v>229</v>
      </c>
      <c r="B230" s="107" t="s">
        <v>4047</v>
      </c>
      <c r="C230" s="105" t="s">
        <v>928</v>
      </c>
      <c r="D230" s="105" t="s">
        <v>0</v>
      </c>
    </row>
    <row r="231" spans="1:4" ht="22.5" customHeight="1">
      <c r="A231" s="105">
        <v>230</v>
      </c>
      <c r="B231" s="105" t="s">
        <v>929</v>
      </c>
      <c r="C231" s="105" t="s">
        <v>930</v>
      </c>
      <c r="D231" s="105" t="s">
        <v>0</v>
      </c>
    </row>
    <row r="232" spans="1:4" ht="22.5" customHeight="1">
      <c r="A232" s="105">
        <v>231</v>
      </c>
      <c r="B232" s="105" t="s">
        <v>931</v>
      </c>
      <c r="C232" s="105" t="s">
        <v>932</v>
      </c>
      <c r="D232" s="105" t="s">
        <v>0</v>
      </c>
    </row>
    <row r="233" spans="1:4" ht="22.5" customHeight="1">
      <c r="A233" s="105">
        <v>232</v>
      </c>
      <c r="B233" s="105" t="s">
        <v>933</v>
      </c>
      <c r="C233" s="105" t="s">
        <v>934</v>
      </c>
      <c r="D233" s="105" t="s">
        <v>0</v>
      </c>
    </row>
    <row r="234" spans="1:4" ht="22.5" customHeight="1">
      <c r="A234" s="105">
        <v>233</v>
      </c>
      <c r="B234" s="105" t="s">
        <v>935</v>
      </c>
      <c r="C234" s="105" t="s">
        <v>936</v>
      </c>
      <c r="D234" s="105" t="s">
        <v>0</v>
      </c>
    </row>
    <row r="235" spans="1:4" ht="22.5" customHeight="1">
      <c r="A235" s="105">
        <v>234</v>
      </c>
      <c r="B235" s="105" t="s">
        <v>937</v>
      </c>
      <c r="C235" s="105" t="s">
        <v>938</v>
      </c>
      <c r="D235" s="105" t="s">
        <v>0</v>
      </c>
    </row>
    <row r="236" spans="1:4" ht="22.5" customHeight="1">
      <c r="A236" s="105">
        <v>235</v>
      </c>
      <c r="B236" s="105" t="s">
        <v>939</v>
      </c>
      <c r="C236" s="105" t="s">
        <v>940</v>
      </c>
      <c r="D236" s="105" t="s">
        <v>0</v>
      </c>
    </row>
    <row r="237" spans="1:4" ht="22.5" customHeight="1">
      <c r="A237" s="105">
        <v>236</v>
      </c>
      <c r="B237" s="105" t="s">
        <v>941</v>
      </c>
      <c r="C237" s="105" t="s">
        <v>942</v>
      </c>
      <c r="D237" s="105" t="s">
        <v>0</v>
      </c>
    </row>
    <row r="238" spans="1:4" ht="22.5" customHeight="1">
      <c r="A238" s="105">
        <v>237</v>
      </c>
      <c r="B238" s="105" t="s">
        <v>943</v>
      </c>
      <c r="C238" s="105" t="s">
        <v>944</v>
      </c>
      <c r="D238" s="105" t="s">
        <v>0</v>
      </c>
    </row>
    <row r="239" spans="1:4" ht="22.5" customHeight="1">
      <c r="A239" s="105">
        <v>238</v>
      </c>
      <c r="B239" s="105" t="s">
        <v>945</v>
      </c>
      <c r="C239" s="105" t="s">
        <v>946</v>
      </c>
      <c r="D239" s="105" t="s">
        <v>0</v>
      </c>
    </row>
    <row r="240" spans="1:4" ht="22.5" customHeight="1">
      <c r="A240" s="105">
        <v>239</v>
      </c>
      <c r="B240" s="105" t="s">
        <v>947</v>
      </c>
      <c r="C240" s="105" t="s">
        <v>948</v>
      </c>
      <c r="D240" s="105" t="s">
        <v>0</v>
      </c>
    </row>
    <row r="241" spans="1:4" ht="22.5" customHeight="1">
      <c r="A241" s="105">
        <v>240</v>
      </c>
      <c r="B241" s="105" t="s">
        <v>949</v>
      </c>
      <c r="C241" s="105" t="s">
        <v>950</v>
      </c>
      <c r="D241" s="105" t="s">
        <v>0</v>
      </c>
    </row>
    <row r="242" spans="1:4" ht="22.5" customHeight="1">
      <c r="A242" s="105">
        <v>241</v>
      </c>
      <c r="B242" s="105" t="s">
        <v>951</v>
      </c>
      <c r="C242" s="105" t="s">
        <v>952</v>
      </c>
      <c r="D242" s="105" t="s">
        <v>0</v>
      </c>
    </row>
    <row r="243" spans="1:4" ht="22.5" customHeight="1">
      <c r="A243" s="105">
        <v>242</v>
      </c>
      <c r="B243" s="105" t="s">
        <v>953</v>
      </c>
      <c r="C243" s="105" t="s">
        <v>954</v>
      </c>
      <c r="D243" s="105" t="s">
        <v>0</v>
      </c>
    </row>
    <row r="244" spans="1:4" ht="22.5" customHeight="1">
      <c r="A244" s="105">
        <v>243</v>
      </c>
      <c r="B244" s="105" t="s">
        <v>955</v>
      </c>
      <c r="C244" s="105" t="s">
        <v>956</v>
      </c>
      <c r="D244" s="105" t="s">
        <v>0</v>
      </c>
    </row>
    <row r="245" spans="1:4" ht="22.5" customHeight="1">
      <c r="A245" s="105">
        <v>244</v>
      </c>
      <c r="B245" s="105" t="s">
        <v>957</v>
      </c>
      <c r="C245" s="105" t="s">
        <v>958</v>
      </c>
      <c r="D245" s="105" t="s">
        <v>0</v>
      </c>
    </row>
    <row r="246" spans="1:4" ht="22.5" customHeight="1">
      <c r="A246" s="105">
        <v>245</v>
      </c>
      <c r="B246" s="105" t="s">
        <v>959</v>
      </c>
      <c r="C246" s="105" t="s">
        <v>960</v>
      </c>
      <c r="D246" s="105" t="s">
        <v>0</v>
      </c>
    </row>
    <row r="247" spans="1:4" ht="22.5" customHeight="1">
      <c r="A247" s="105">
        <v>246</v>
      </c>
      <c r="B247" s="105" t="s">
        <v>961</v>
      </c>
      <c r="C247" s="105" t="s">
        <v>962</v>
      </c>
      <c r="D247" s="105" t="s">
        <v>0</v>
      </c>
    </row>
    <row r="248" spans="1:4" ht="22.5" customHeight="1">
      <c r="A248" s="105">
        <v>247</v>
      </c>
      <c r="B248" s="108" t="s">
        <v>963</v>
      </c>
      <c r="C248" s="107" t="s">
        <v>964</v>
      </c>
      <c r="D248" s="105" t="s">
        <v>0</v>
      </c>
    </row>
    <row r="249" spans="1:4" ht="22.5" customHeight="1">
      <c r="A249" s="105">
        <v>248</v>
      </c>
      <c r="B249" s="105" t="s">
        <v>965</v>
      </c>
      <c r="C249" s="105" t="s">
        <v>966</v>
      </c>
      <c r="D249" s="105" t="s">
        <v>0</v>
      </c>
    </row>
    <row r="250" spans="1:4" ht="22.5" customHeight="1">
      <c r="A250" s="105">
        <v>249</v>
      </c>
      <c r="B250" s="105" t="s">
        <v>967</v>
      </c>
      <c r="C250" s="105" t="s">
        <v>968</v>
      </c>
      <c r="D250" s="105" t="s">
        <v>0</v>
      </c>
    </row>
    <row r="251" spans="1:4" ht="22.5" customHeight="1">
      <c r="A251" s="105">
        <v>250</v>
      </c>
      <c r="B251" s="105" t="s">
        <v>969</v>
      </c>
      <c r="C251" s="105" t="s">
        <v>970</v>
      </c>
      <c r="D251" s="105" t="s">
        <v>0</v>
      </c>
    </row>
    <row r="252" spans="1:4" ht="22.5" customHeight="1">
      <c r="A252" s="105">
        <v>251</v>
      </c>
      <c r="B252" s="105" t="s">
        <v>971</v>
      </c>
      <c r="C252" s="105" t="s">
        <v>972</v>
      </c>
      <c r="D252" s="105" t="s">
        <v>0</v>
      </c>
    </row>
    <row r="253" spans="1:4" ht="22.5" customHeight="1">
      <c r="A253" s="105">
        <v>252</v>
      </c>
      <c r="B253" s="105" t="s">
        <v>973</v>
      </c>
      <c r="C253" s="105" t="s">
        <v>974</v>
      </c>
      <c r="D253" s="105" t="s">
        <v>0</v>
      </c>
    </row>
    <row r="254" spans="1:4" ht="22.5" customHeight="1">
      <c r="A254" s="105">
        <v>253</v>
      </c>
      <c r="B254" s="105" t="s">
        <v>975</v>
      </c>
      <c r="C254" s="105" t="s">
        <v>976</v>
      </c>
      <c r="D254" s="105" t="s">
        <v>0</v>
      </c>
    </row>
    <row r="255" spans="1:4" ht="22.5" customHeight="1">
      <c r="A255" s="105">
        <v>254</v>
      </c>
      <c r="B255" s="105" t="s">
        <v>977</v>
      </c>
      <c r="C255" s="105" t="s">
        <v>978</v>
      </c>
      <c r="D255" s="105" t="s">
        <v>0</v>
      </c>
    </row>
    <row r="256" spans="1:4" ht="22.5" customHeight="1">
      <c r="A256" s="105">
        <v>255</v>
      </c>
      <c r="B256" s="105" t="s">
        <v>979</v>
      </c>
      <c r="C256" s="105" t="s">
        <v>980</v>
      </c>
      <c r="D256" s="105" t="s">
        <v>0</v>
      </c>
    </row>
    <row r="257" spans="1:4" ht="22.5" customHeight="1">
      <c r="A257" s="105">
        <v>256</v>
      </c>
      <c r="B257" s="105" t="s">
        <v>981</v>
      </c>
      <c r="C257" s="105" t="s">
        <v>982</v>
      </c>
      <c r="D257" s="105" t="s">
        <v>0</v>
      </c>
    </row>
    <row r="258" spans="1:4" ht="22.5" customHeight="1">
      <c r="A258" s="105">
        <v>257</v>
      </c>
      <c r="B258" s="105" t="s">
        <v>983</v>
      </c>
      <c r="C258" s="105" t="s">
        <v>984</v>
      </c>
      <c r="D258" s="105" t="s">
        <v>0</v>
      </c>
    </row>
    <row r="259" spans="1:4" ht="22.5" customHeight="1">
      <c r="A259" s="105">
        <v>258</v>
      </c>
      <c r="B259" s="105" t="s">
        <v>985</v>
      </c>
      <c r="C259" s="105" t="s">
        <v>986</v>
      </c>
      <c r="D259" s="105" t="s">
        <v>0</v>
      </c>
    </row>
    <row r="260" spans="1:4" ht="22.5" customHeight="1">
      <c r="A260" s="105">
        <v>259</v>
      </c>
      <c r="B260" s="105" t="s">
        <v>987</v>
      </c>
      <c r="C260" s="105" t="s">
        <v>988</v>
      </c>
      <c r="D260" s="105" t="s">
        <v>0</v>
      </c>
    </row>
    <row r="261" spans="1:4" ht="22.5" customHeight="1">
      <c r="A261" s="105">
        <v>260</v>
      </c>
      <c r="B261" s="105" t="s">
        <v>989</v>
      </c>
      <c r="C261" s="105" t="s">
        <v>990</v>
      </c>
      <c r="D261" s="105" t="s">
        <v>0</v>
      </c>
    </row>
    <row r="262" spans="1:4" ht="22.5" customHeight="1">
      <c r="A262" s="105">
        <v>261</v>
      </c>
      <c r="B262" s="105" t="s">
        <v>991</v>
      </c>
      <c r="C262" s="105" t="s">
        <v>992</v>
      </c>
      <c r="D262" s="105" t="s">
        <v>0</v>
      </c>
    </row>
    <row r="263" spans="1:4" ht="22.5" customHeight="1">
      <c r="A263" s="105">
        <v>262</v>
      </c>
      <c r="B263" s="105" t="s">
        <v>993</v>
      </c>
      <c r="C263" s="105" t="s">
        <v>994</v>
      </c>
      <c r="D263" s="105" t="s">
        <v>0</v>
      </c>
    </row>
    <row r="264" spans="1:4" ht="22.5" customHeight="1">
      <c r="A264" s="105">
        <v>263</v>
      </c>
      <c r="B264" s="105" t="s">
        <v>995</v>
      </c>
      <c r="C264" s="105" t="s">
        <v>996</v>
      </c>
      <c r="D264" s="105" t="s">
        <v>0</v>
      </c>
    </row>
    <row r="265" spans="1:4" ht="22.5" customHeight="1">
      <c r="A265" s="105">
        <v>264</v>
      </c>
      <c r="B265" s="105" t="s">
        <v>997</v>
      </c>
      <c r="C265" s="105" t="s">
        <v>998</v>
      </c>
      <c r="D265" s="105" t="s">
        <v>0</v>
      </c>
    </row>
    <row r="266" spans="1:4" ht="22.5" customHeight="1">
      <c r="A266" s="105">
        <v>265</v>
      </c>
      <c r="B266" s="105" t="s">
        <v>999</v>
      </c>
      <c r="C266" s="105" t="s">
        <v>1000</v>
      </c>
      <c r="D266" s="105" t="s">
        <v>0</v>
      </c>
    </row>
    <row r="267" spans="1:4" ht="22.5" customHeight="1">
      <c r="A267" s="105">
        <v>266</v>
      </c>
      <c r="B267" s="105" t="s">
        <v>1001</v>
      </c>
      <c r="C267" s="105" t="s">
        <v>1002</v>
      </c>
      <c r="D267" s="105" t="s">
        <v>0</v>
      </c>
    </row>
    <row r="268" spans="1:4" ht="22.5" customHeight="1">
      <c r="A268" s="105">
        <v>267</v>
      </c>
      <c r="B268" s="105" t="s">
        <v>1003</v>
      </c>
      <c r="C268" s="105" t="s">
        <v>1004</v>
      </c>
      <c r="D268" s="105" t="s">
        <v>0</v>
      </c>
    </row>
    <row r="269" spans="1:4" ht="22.5" customHeight="1">
      <c r="A269" s="105">
        <v>268</v>
      </c>
      <c r="B269" s="105" t="s">
        <v>1005</v>
      </c>
      <c r="C269" s="105" t="s">
        <v>1006</v>
      </c>
      <c r="D269" s="105" t="s">
        <v>0</v>
      </c>
    </row>
    <row r="270" spans="1:4" ht="22.5" customHeight="1">
      <c r="A270" s="105">
        <v>269</v>
      </c>
      <c r="B270" s="105" t="s">
        <v>1007</v>
      </c>
      <c r="C270" s="105" t="s">
        <v>1008</v>
      </c>
      <c r="D270" s="105" t="s">
        <v>0</v>
      </c>
    </row>
    <row r="271" spans="1:4" ht="22.5" customHeight="1">
      <c r="A271" s="105">
        <v>270</v>
      </c>
      <c r="B271" s="105" t="s">
        <v>1009</v>
      </c>
      <c r="C271" s="105" t="s">
        <v>1010</v>
      </c>
      <c r="D271" s="105" t="s">
        <v>0</v>
      </c>
    </row>
    <row r="272" spans="1:4" ht="22.5" customHeight="1">
      <c r="A272" s="105">
        <v>271</v>
      </c>
      <c r="B272" s="105" t="s">
        <v>1011</v>
      </c>
      <c r="C272" s="105" t="s">
        <v>1012</v>
      </c>
      <c r="D272" s="105" t="s">
        <v>0</v>
      </c>
    </row>
    <row r="273" spans="1:4" ht="22.5" customHeight="1">
      <c r="A273" s="105">
        <v>272</v>
      </c>
      <c r="B273" s="105" t="s">
        <v>1013</v>
      </c>
      <c r="C273" s="105" t="s">
        <v>1014</v>
      </c>
      <c r="D273" s="105" t="s">
        <v>0</v>
      </c>
    </row>
    <row r="274" spans="1:4" ht="22.5" customHeight="1">
      <c r="A274" s="105">
        <v>273</v>
      </c>
      <c r="B274" s="105" t="s">
        <v>1015</v>
      </c>
      <c r="C274" s="105" t="s">
        <v>1016</v>
      </c>
      <c r="D274" s="105" t="s">
        <v>0</v>
      </c>
    </row>
    <row r="275" spans="1:4" ht="22.5" customHeight="1">
      <c r="A275" s="105">
        <v>274</v>
      </c>
      <c r="B275" s="105" t="s">
        <v>1017</v>
      </c>
      <c r="C275" s="105" t="s">
        <v>1018</v>
      </c>
      <c r="D275" s="105" t="s">
        <v>0</v>
      </c>
    </row>
    <row r="276" spans="1:4" ht="22.5" customHeight="1">
      <c r="A276" s="105">
        <v>275</v>
      </c>
      <c r="B276" s="105" t="s">
        <v>1019</v>
      </c>
      <c r="C276" s="105" t="s">
        <v>1020</v>
      </c>
      <c r="D276" s="105" t="s">
        <v>0</v>
      </c>
    </row>
    <row r="277" spans="1:4" ht="22.5" customHeight="1">
      <c r="A277" s="105">
        <v>276</v>
      </c>
      <c r="B277" s="105" t="s">
        <v>1021</v>
      </c>
      <c r="C277" s="105" t="s">
        <v>1022</v>
      </c>
      <c r="D277" s="105" t="s">
        <v>0</v>
      </c>
    </row>
    <row r="278" spans="1:4" ht="22.5" customHeight="1">
      <c r="A278" s="105">
        <v>277</v>
      </c>
      <c r="B278" s="105" t="s">
        <v>1023</v>
      </c>
      <c r="C278" s="105" t="s">
        <v>1024</v>
      </c>
      <c r="D278" s="105" t="s">
        <v>0</v>
      </c>
    </row>
    <row r="279" spans="1:4" ht="22.5" customHeight="1">
      <c r="A279" s="105">
        <v>278</v>
      </c>
      <c r="B279" s="105" t="s">
        <v>1025</v>
      </c>
      <c r="C279" s="105" t="s">
        <v>1026</v>
      </c>
      <c r="D279" s="105" t="s">
        <v>0</v>
      </c>
    </row>
    <row r="280" spans="1:4" ht="22.5" customHeight="1">
      <c r="A280" s="105">
        <v>279</v>
      </c>
      <c r="B280" s="105" t="s">
        <v>1027</v>
      </c>
      <c r="C280" s="105" t="s">
        <v>1028</v>
      </c>
      <c r="D280" s="105" t="s">
        <v>1029</v>
      </c>
    </row>
    <row r="281" spans="1:4" ht="22.5" customHeight="1">
      <c r="A281" s="105">
        <v>280</v>
      </c>
      <c r="B281" s="105" t="s">
        <v>1030</v>
      </c>
      <c r="C281" s="105" t="s">
        <v>1031</v>
      </c>
      <c r="D281" s="105" t="s">
        <v>1029</v>
      </c>
    </row>
    <row r="282" spans="1:4" ht="22.5" customHeight="1">
      <c r="A282" s="105">
        <v>281</v>
      </c>
      <c r="B282" s="105" t="s">
        <v>1032</v>
      </c>
      <c r="C282" s="105" t="s">
        <v>1033</v>
      </c>
      <c r="D282" s="105" t="s">
        <v>1029</v>
      </c>
    </row>
    <row r="283" spans="1:4" ht="22.5" customHeight="1">
      <c r="A283" s="105">
        <v>282</v>
      </c>
      <c r="B283" s="105" t="s">
        <v>1034</v>
      </c>
      <c r="C283" s="105" t="s">
        <v>1035</v>
      </c>
      <c r="D283" s="105" t="s">
        <v>1029</v>
      </c>
    </row>
    <row r="284" spans="1:4" ht="22.5" customHeight="1">
      <c r="A284" s="105">
        <v>283</v>
      </c>
      <c r="B284" s="105" t="s">
        <v>1036</v>
      </c>
      <c r="C284" s="105" t="s">
        <v>1037</v>
      </c>
      <c r="D284" s="105" t="s">
        <v>1029</v>
      </c>
    </row>
    <row r="285" spans="1:4" ht="22.5" customHeight="1">
      <c r="A285" s="105">
        <v>284</v>
      </c>
      <c r="B285" s="105" t="s">
        <v>1038</v>
      </c>
      <c r="C285" s="105" t="s">
        <v>1039</v>
      </c>
      <c r="D285" s="105" t="s">
        <v>1029</v>
      </c>
    </row>
    <row r="286" spans="1:4" ht="22.5" customHeight="1">
      <c r="A286" s="105">
        <v>285</v>
      </c>
      <c r="B286" s="105" t="s">
        <v>1040</v>
      </c>
      <c r="C286" s="105" t="s">
        <v>1041</v>
      </c>
      <c r="D286" s="105" t="s">
        <v>1029</v>
      </c>
    </row>
    <row r="287" spans="1:4" ht="22.5" customHeight="1">
      <c r="A287" s="105">
        <v>286</v>
      </c>
      <c r="B287" s="105" t="s">
        <v>1042</v>
      </c>
      <c r="C287" s="105" t="s">
        <v>1043</v>
      </c>
      <c r="D287" s="105" t="s">
        <v>1029</v>
      </c>
    </row>
    <row r="288" spans="1:4" ht="22.5" customHeight="1">
      <c r="A288" s="105">
        <v>287</v>
      </c>
      <c r="B288" s="105" t="s">
        <v>1044</v>
      </c>
      <c r="C288" s="105" t="s">
        <v>1045</v>
      </c>
      <c r="D288" s="105" t="s">
        <v>1029</v>
      </c>
    </row>
    <row r="289" spans="1:4" ht="22.5" customHeight="1">
      <c r="A289" s="105">
        <v>288</v>
      </c>
      <c r="B289" s="105" t="s">
        <v>1046</v>
      </c>
      <c r="C289" s="105" t="s">
        <v>1047</v>
      </c>
      <c r="D289" s="105" t="s">
        <v>1029</v>
      </c>
    </row>
    <row r="290" spans="1:4" ht="22.5" customHeight="1">
      <c r="A290" s="105">
        <v>289</v>
      </c>
      <c r="B290" s="105" t="s">
        <v>1048</v>
      </c>
      <c r="C290" s="105" t="s">
        <v>4048</v>
      </c>
      <c r="D290" s="105" t="s">
        <v>1</v>
      </c>
    </row>
    <row r="291" spans="1:4" ht="22.5" customHeight="1">
      <c r="A291" s="105">
        <v>290</v>
      </c>
      <c r="B291" s="105" t="s">
        <v>1049</v>
      </c>
      <c r="C291" s="105" t="s">
        <v>1050</v>
      </c>
      <c r="D291" s="105" t="s">
        <v>1</v>
      </c>
    </row>
    <row r="292" spans="1:4" ht="22.5" customHeight="1">
      <c r="A292" s="105">
        <v>291</v>
      </c>
      <c r="B292" s="105" t="s">
        <v>1051</v>
      </c>
      <c r="C292" s="105" t="s">
        <v>1052</v>
      </c>
      <c r="D292" s="105" t="s">
        <v>1</v>
      </c>
    </row>
    <row r="293" spans="1:4" ht="22.5" customHeight="1">
      <c r="A293" s="105">
        <v>292</v>
      </c>
      <c r="B293" s="105" t="s">
        <v>1053</v>
      </c>
      <c r="C293" s="109" t="s">
        <v>1054</v>
      </c>
      <c r="D293" s="105" t="s">
        <v>1</v>
      </c>
    </row>
    <row r="294" spans="1:4" ht="22.5" customHeight="1">
      <c r="A294" s="105">
        <v>293</v>
      </c>
      <c r="B294" s="105" t="s">
        <v>1055</v>
      </c>
      <c r="C294" s="105" t="s">
        <v>1056</v>
      </c>
      <c r="D294" s="105" t="s">
        <v>1</v>
      </c>
    </row>
    <row r="295" spans="1:4" ht="22.5" customHeight="1">
      <c r="A295" s="105">
        <v>294</v>
      </c>
      <c r="B295" s="105" t="s">
        <v>1057</v>
      </c>
      <c r="C295" s="105" t="s">
        <v>1058</v>
      </c>
      <c r="D295" s="105" t="s">
        <v>1</v>
      </c>
    </row>
    <row r="296" spans="1:4" ht="22.5" customHeight="1">
      <c r="A296" s="105">
        <v>295</v>
      </c>
      <c r="B296" s="105" t="s">
        <v>1059</v>
      </c>
      <c r="C296" s="105" t="s">
        <v>1060</v>
      </c>
      <c r="D296" s="105" t="s">
        <v>1</v>
      </c>
    </row>
    <row r="297" spans="1:4" ht="22.5" customHeight="1">
      <c r="A297" s="105">
        <v>296</v>
      </c>
      <c r="B297" s="105" t="s">
        <v>1061</v>
      </c>
      <c r="C297" s="105" t="s">
        <v>1062</v>
      </c>
      <c r="D297" s="105" t="s">
        <v>1</v>
      </c>
    </row>
    <row r="298" spans="1:4" ht="22.5" customHeight="1">
      <c r="A298" s="105">
        <v>297</v>
      </c>
      <c r="B298" s="105" t="s">
        <v>1063</v>
      </c>
      <c r="C298" s="105" t="s">
        <v>1064</v>
      </c>
      <c r="D298" s="105" t="s">
        <v>1</v>
      </c>
    </row>
    <row r="299" spans="1:4" ht="22.5" customHeight="1">
      <c r="A299" s="105">
        <v>298</v>
      </c>
      <c r="B299" s="105" t="s">
        <v>1065</v>
      </c>
      <c r="C299" s="105" t="s">
        <v>1066</v>
      </c>
      <c r="D299" s="105" t="s">
        <v>1</v>
      </c>
    </row>
    <row r="300" spans="1:4" ht="22.5" customHeight="1">
      <c r="A300" s="105">
        <v>299</v>
      </c>
      <c r="B300" s="105" t="s">
        <v>1067</v>
      </c>
      <c r="C300" s="105" t="s">
        <v>1068</v>
      </c>
      <c r="D300" s="105" t="s">
        <v>1</v>
      </c>
    </row>
    <row r="301" spans="1:4" ht="22.5" customHeight="1">
      <c r="A301" s="105">
        <v>300</v>
      </c>
      <c r="B301" s="105" t="s">
        <v>1069</v>
      </c>
      <c r="C301" s="105" t="s">
        <v>1070</v>
      </c>
      <c r="D301" s="105" t="s">
        <v>1</v>
      </c>
    </row>
    <row r="302" spans="1:4" ht="22.5" customHeight="1">
      <c r="A302" s="105">
        <v>301</v>
      </c>
      <c r="B302" s="105" t="s">
        <v>1071</v>
      </c>
      <c r="C302" s="105" t="s">
        <v>1072</v>
      </c>
      <c r="D302" s="105" t="s">
        <v>1</v>
      </c>
    </row>
    <row r="303" spans="1:4" ht="22.5" customHeight="1">
      <c r="A303" s="105">
        <v>302</v>
      </c>
      <c r="B303" s="105" t="s">
        <v>1073</v>
      </c>
      <c r="C303" s="105" t="s">
        <v>1074</v>
      </c>
      <c r="D303" s="105" t="s">
        <v>1</v>
      </c>
    </row>
    <row r="304" spans="1:4" ht="22.5" customHeight="1">
      <c r="A304" s="105">
        <v>303</v>
      </c>
      <c r="B304" s="105" t="s">
        <v>1075</v>
      </c>
      <c r="C304" s="105" t="s">
        <v>1076</v>
      </c>
      <c r="D304" s="105" t="s">
        <v>1</v>
      </c>
    </row>
    <row r="305" spans="1:4" ht="22.5" customHeight="1">
      <c r="A305" s="105">
        <v>304</v>
      </c>
      <c r="B305" s="105" t="s">
        <v>1077</v>
      </c>
      <c r="C305" s="105" t="s">
        <v>1078</v>
      </c>
      <c r="D305" s="105" t="s">
        <v>1</v>
      </c>
    </row>
    <row r="306" spans="1:4" ht="22.5" customHeight="1">
      <c r="A306" s="105">
        <v>305</v>
      </c>
      <c r="B306" s="105" t="s">
        <v>1079</v>
      </c>
      <c r="C306" s="105" t="s">
        <v>1080</v>
      </c>
      <c r="D306" s="105" t="s">
        <v>1</v>
      </c>
    </row>
    <row r="307" spans="1:4" ht="22.5" customHeight="1">
      <c r="A307" s="105">
        <v>306</v>
      </c>
      <c r="B307" s="105" t="s">
        <v>1081</v>
      </c>
      <c r="C307" s="105" t="s">
        <v>1082</v>
      </c>
      <c r="D307" s="105" t="s">
        <v>1</v>
      </c>
    </row>
    <row r="308" spans="1:4" ht="22.5" customHeight="1">
      <c r="A308" s="105">
        <v>307</v>
      </c>
      <c r="B308" s="105" t="s">
        <v>1083</v>
      </c>
      <c r="C308" s="105" t="s">
        <v>1084</v>
      </c>
      <c r="D308" s="105" t="s">
        <v>1</v>
      </c>
    </row>
    <row r="309" spans="1:4" ht="22.5" customHeight="1">
      <c r="A309" s="105">
        <v>308</v>
      </c>
      <c r="B309" s="105" t="s">
        <v>1085</v>
      </c>
      <c r="C309" s="105" t="s">
        <v>1086</v>
      </c>
      <c r="D309" s="105" t="s">
        <v>1</v>
      </c>
    </row>
    <row r="310" spans="1:4" ht="22.5" customHeight="1">
      <c r="A310" s="105">
        <v>309</v>
      </c>
      <c r="B310" s="105" t="s">
        <v>1087</v>
      </c>
      <c r="C310" s="105" t="s">
        <v>1088</v>
      </c>
      <c r="D310" s="105" t="s">
        <v>1</v>
      </c>
    </row>
    <row r="311" spans="1:4" ht="22.5" customHeight="1">
      <c r="A311" s="105">
        <v>310</v>
      </c>
      <c r="B311" s="105" t="s">
        <v>1089</v>
      </c>
      <c r="C311" s="105" t="s">
        <v>1090</v>
      </c>
      <c r="D311" s="105" t="s">
        <v>1</v>
      </c>
    </row>
    <row r="312" spans="1:4" ht="22.5" customHeight="1">
      <c r="A312" s="105">
        <v>311</v>
      </c>
      <c r="B312" s="105" t="s">
        <v>1091</v>
      </c>
      <c r="C312" s="105" t="s">
        <v>1092</v>
      </c>
      <c r="D312" s="105" t="s">
        <v>1</v>
      </c>
    </row>
    <row r="313" spans="1:4" ht="22.5" customHeight="1">
      <c r="A313" s="105">
        <v>312</v>
      </c>
      <c r="B313" s="105" t="s">
        <v>663</v>
      </c>
      <c r="C313" s="105" t="s">
        <v>1093</v>
      </c>
      <c r="D313" s="105" t="s">
        <v>1</v>
      </c>
    </row>
    <row r="314" spans="1:4" ht="22.5" customHeight="1">
      <c r="A314" s="105">
        <v>313</v>
      </c>
      <c r="B314" s="105" t="s">
        <v>1063</v>
      </c>
      <c r="C314" s="105" t="s">
        <v>1064</v>
      </c>
      <c r="D314" s="105" t="s">
        <v>1</v>
      </c>
    </row>
    <row r="315" spans="1:4" ht="22.5" customHeight="1">
      <c r="A315" s="105">
        <v>314</v>
      </c>
      <c r="B315" s="109" t="s">
        <v>1094</v>
      </c>
      <c r="C315" s="109" t="s">
        <v>1095</v>
      </c>
      <c r="D315" s="105" t="s">
        <v>1</v>
      </c>
    </row>
    <row r="316" spans="1:4" ht="156" customHeight="1">
      <c r="A316" s="105">
        <v>315</v>
      </c>
      <c r="B316" s="105" t="s">
        <v>1096</v>
      </c>
      <c r="C316" s="105" t="s">
        <v>1097</v>
      </c>
      <c r="D316" s="105" t="s">
        <v>1</v>
      </c>
    </row>
    <row r="317" spans="1:4" ht="22.5" customHeight="1">
      <c r="A317" s="105">
        <v>316</v>
      </c>
      <c r="B317" s="105" t="s">
        <v>1098</v>
      </c>
      <c r="C317" s="105" t="s">
        <v>1099</v>
      </c>
      <c r="D317" s="105" t="s">
        <v>1</v>
      </c>
    </row>
    <row r="318" spans="1:4" ht="22.5" customHeight="1">
      <c r="A318" s="105">
        <v>317</v>
      </c>
      <c r="B318" s="105" t="s">
        <v>1100</v>
      </c>
      <c r="C318" s="105" t="s">
        <v>1101</v>
      </c>
      <c r="D318" s="105" t="s">
        <v>1</v>
      </c>
    </row>
    <row r="319" spans="1:4" ht="22.5" customHeight="1">
      <c r="A319" s="105">
        <v>318</v>
      </c>
      <c r="B319" s="105" t="s">
        <v>1102</v>
      </c>
      <c r="C319" s="105" t="s">
        <v>1103</v>
      </c>
      <c r="D319" s="105" t="s">
        <v>1</v>
      </c>
    </row>
    <row r="320" spans="1:4" ht="22.5" customHeight="1">
      <c r="A320" s="105">
        <v>319</v>
      </c>
      <c r="B320" s="105" t="s">
        <v>1104</v>
      </c>
      <c r="C320" s="105" t="s">
        <v>1105</v>
      </c>
      <c r="D320" s="105" t="s">
        <v>1</v>
      </c>
    </row>
    <row r="321" spans="1:4" ht="22.5" customHeight="1">
      <c r="A321" s="105">
        <v>320</v>
      </c>
      <c r="B321" s="105" t="s">
        <v>1106</v>
      </c>
      <c r="C321" s="105" t="s">
        <v>1107</v>
      </c>
      <c r="D321" s="105" t="s">
        <v>1</v>
      </c>
    </row>
    <row r="322" spans="1:4" ht="22.5" customHeight="1">
      <c r="A322" s="105">
        <v>321</v>
      </c>
      <c r="B322" s="105" t="s">
        <v>1108</v>
      </c>
      <c r="C322" s="105" t="s">
        <v>1109</v>
      </c>
      <c r="D322" s="105" t="s">
        <v>1</v>
      </c>
    </row>
    <row r="323" spans="1:4" ht="72" customHeight="1">
      <c r="A323" s="105">
        <v>322</v>
      </c>
      <c r="B323" s="105" t="s">
        <v>1110</v>
      </c>
      <c r="C323" s="105" t="s">
        <v>1111</v>
      </c>
      <c r="D323" s="105" t="s">
        <v>1</v>
      </c>
    </row>
    <row r="324" spans="1:4" ht="22.5" customHeight="1">
      <c r="A324" s="105">
        <v>323</v>
      </c>
      <c r="B324" s="105" t="s">
        <v>1112</v>
      </c>
      <c r="C324" s="105" t="s">
        <v>1113</v>
      </c>
      <c r="D324" s="105" t="s">
        <v>1</v>
      </c>
    </row>
    <row r="325" spans="1:4" ht="79.5" customHeight="1">
      <c r="A325" s="105">
        <v>324</v>
      </c>
      <c r="B325" s="105" t="s">
        <v>1114</v>
      </c>
      <c r="C325" s="105" t="s">
        <v>1115</v>
      </c>
      <c r="D325" s="105" t="s">
        <v>1</v>
      </c>
    </row>
    <row r="326" spans="1:4" ht="22.5" customHeight="1">
      <c r="A326" s="105">
        <v>325</v>
      </c>
      <c r="B326" s="105" t="s">
        <v>1116</v>
      </c>
      <c r="C326" s="105" t="s">
        <v>1117</v>
      </c>
      <c r="D326" s="105" t="s">
        <v>1</v>
      </c>
    </row>
    <row r="327" spans="1:4" ht="22.5" customHeight="1">
      <c r="A327" s="105">
        <v>326</v>
      </c>
      <c r="B327" s="105" t="s">
        <v>1118</v>
      </c>
      <c r="C327" s="105" t="s">
        <v>1119</v>
      </c>
      <c r="D327" s="105" t="s">
        <v>1</v>
      </c>
    </row>
    <row r="328" spans="1:4" ht="22.5" customHeight="1">
      <c r="A328" s="105">
        <v>327</v>
      </c>
      <c r="B328" s="105" t="s">
        <v>1120</v>
      </c>
      <c r="C328" s="105" t="s">
        <v>1121</v>
      </c>
      <c r="D328" s="105" t="s">
        <v>1</v>
      </c>
    </row>
    <row r="329" spans="1:4" ht="22.5" customHeight="1">
      <c r="A329" s="105">
        <v>328</v>
      </c>
      <c r="B329" s="105" t="s">
        <v>1122</v>
      </c>
      <c r="C329" s="105" t="s">
        <v>1123</v>
      </c>
      <c r="D329" s="105" t="s">
        <v>1</v>
      </c>
    </row>
    <row r="330" spans="1:4" ht="22.5" customHeight="1">
      <c r="A330" s="105">
        <v>329</v>
      </c>
      <c r="B330" s="105" t="s">
        <v>1124</v>
      </c>
      <c r="C330" s="105" t="s">
        <v>1125</v>
      </c>
      <c r="D330" s="105" t="s">
        <v>1</v>
      </c>
    </row>
    <row r="331" spans="1:4" ht="22.5" customHeight="1">
      <c r="A331" s="105">
        <v>330</v>
      </c>
      <c r="B331" s="105" t="s">
        <v>1126</v>
      </c>
      <c r="C331" s="105" t="s">
        <v>1127</v>
      </c>
      <c r="D331" s="105" t="s">
        <v>1</v>
      </c>
    </row>
    <row r="332" spans="1:4" ht="22.5" customHeight="1">
      <c r="A332" s="105">
        <v>331</v>
      </c>
      <c r="B332" s="105" t="s">
        <v>1128</v>
      </c>
      <c r="C332" s="105" t="s">
        <v>1129</v>
      </c>
      <c r="D332" s="105" t="s">
        <v>1</v>
      </c>
    </row>
    <row r="333" spans="1:4" ht="22.5" customHeight="1">
      <c r="A333" s="105">
        <v>332</v>
      </c>
      <c r="B333" s="105" t="s">
        <v>1130</v>
      </c>
      <c r="C333" s="105" t="s">
        <v>1131</v>
      </c>
      <c r="D333" s="105" t="s">
        <v>1</v>
      </c>
    </row>
    <row r="334" spans="1:4" ht="22.5" customHeight="1">
      <c r="A334" s="105">
        <v>333</v>
      </c>
      <c r="B334" s="105" t="s">
        <v>1132</v>
      </c>
      <c r="C334" s="105" t="s">
        <v>1133</v>
      </c>
      <c r="D334" s="105" t="s">
        <v>1</v>
      </c>
    </row>
    <row r="335" spans="1:4" ht="22.5" customHeight="1">
      <c r="A335" s="105">
        <v>334</v>
      </c>
      <c r="B335" s="105" t="s">
        <v>1134</v>
      </c>
      <c r="C335" s="105" t="s">
        <v>1135</v>
      </c>
      <c r="D335" s="105" t="s">
        <v>1</v>
      </c>
    </row>
    <row r="336" spans="1:4" ht="22.5" customHeight="1">
      <c r="A336" s="105">
        <v>335</v>
      </c>
      <c r="B336" s="105" t="s">
        <v>1136</v>
      </c>
      <c r="C336" s="105" t="s">
        <v>1137</v>
      </c>
      <c r="D336" s="105" t="s">
        <v>1</v>
      </c>
    </row>
    <row r="337" spans="1:4" ht="22.5" customHeight="1">
      <c r="A337" s="105">
        <v>336</v>
      </c>
      <c r="B337" s="105" t="s">
        <v>1138</v>
      </c>
      <c r="C337" s="105" t="s">
        <v>1139</v>
      </c>
      <c r="D337" s="105" t="s">
        <v>1</v>
      </c>
    </row>
    <row r="338" spans="1:4" ht="22.5" customHeight="1">
      <c r="A338" s="105">
        <v>337</v>
      </c>
      <c r="B338" s="105" t="s">
        <v>1140</v>
      </c>
      <c r="C338" s="105" t="s">
        <v>1141</v>
      </c>
      <c r="D338" s="105" t="s">
        <v>1</v>
      </c>
    </row>
    <row r="339" spans="1:4" ht="22.5" customHeight="1">
      <c r="A339" s="105">
        <v>338</v>
      </c>
      <c r="B339" s="105" t="s">
        <v>1142</v>
      </c>
      <c r="C339" s="105" t="s">
        <v>1143</v>
      </c>
      <c r="D339" s="105" t="s">
        <v>1</v>
      </c>
    </row>
    <row r="340" spans="1:4" ht="22.5" customHeight="1">
      <c r="A340" s="105">
        <v>339</v>
      </c>
      <c r="B340" s="105" t="s">
        <v>1144</v>
      </c>
      <c r="C340" s="105" t="s">
        <v>1145</v>
      </c>
      <c r="D340" s="105" t="s">
        <v>1</v>
      </c>
    </row>
    <row r="341" spans="1:4" ht="22.5" customHeight="1">
      <c r="A341" s="105">
        <v>340</v>
      </c>
      <c r="B341" s="105" t="s">
        <v>1146</v>
      </c>
      <c r="C341" s="105" t="s">
        <v>1147</v>
      </c>
      <c r="D341" s="105" t="s">
        <v>1</v>
      </c>
    </row>
    <row r="342" spans="1:4" ht="22.5" customHeight="1">
      <c r="A342" s="105">
        <v>341</v>
      </c>
      <c r="B342" s="105" t="s">
        <v>1148</v>
      </c>
      <c r="C342" s="105" t="s">
        <v>1149</v>
      </c>
      <c r="D342" s="105" t="s">
        <v>1</v>
      </c>
    </row>
    <row r="343" spans="1:4" ht="22.5" customHeight="1">
      <c r="A343" s="105">
        <v>342</v>
      </c>
      <c r="B343" s="105" t="s">
        <v>1150</v>
      </c>
      <c r="C343" s="105" t="s">
        <v>1151</v>
      </c>
      <c r="D343" s="105" t="s">
        <v>1</v>
      </c>
    </row>
    <row r="344" spans="1:4" ht="22.5" customHeight="1">
      <c r="A344" s="105">
        <v>343</v>
      </c>
      <c r="B344" s="105" t="s">
        <v>1152</v>
      </c>
      <c r="C344" s="105" t="s">
        <v>1153</v>
      </c>
      <c r="D344" s="105" t="s">
        <v>1</v>
      </c>
    </row>
    <row r="345" spans="1:4" ht="22.5" customHeight="1">
      <c r="A345" s="105">
        <v>344</v>
      </c>
      <c r="B345" s="109" t="s">
        <v>1154</v>
      </c>
      <c r="C345" s="109" t="s">
        <v>1155</v>
      </c>
      <c r="D345" s="105" t="s">
        <v>1</v>
      </c>
    </row>
    <row r="346" spans="1:4" ht="22.5" customHeight="1">
      <c r="A346" s="105">
        <v>345</v>
      </c>
      <c r="B346" s="105" t="s">
        <v>1156</v>
      </c>
      <c r="C346" s="105" t="s">
        <v>1157</v>
      </c>
      <c r="D346" s="105" t="s">
        <v>1</v>
      </c>
    </row>
    <row r="347" spans="1:4" ht="22.5" customHeight="1">
      <c r="A347" s="105">
        <v>346</v>
      </c>
      <c r="B347" s="105" t="s">
        <v>1158</v>
      </c>
      <c r="C347" s="105" t="s">
        <v>1159</v>
      </c>
      <c r="D347" s="105" t="s">
        <v>1</v>
      </c>
    </row>
    <row r="348" spans="1:4" ht="22.5" customHeight="1">
      <c r="A348" s="105">
        <v>347</v>
      </c>
      <c r="B348" s="105" t="s">
        <v>1160</v>
      </c>
      <c r="C348" s="105" t="s">
        <v>1161</v>
      </c>
      <c r="D348" s="105" t="s">
        <v>1</v>
      </c>
    </row>
    <row r="349" spans="1:4" ht="22.5" customHeight="1">
      <c r="A349" s="105">
        <v>348</v>
      </c>
      <c r="B349" s="105" t="s">
        <v>1162</v>
      </c>
      <c r="C349" s="105" t="s">
        <v>1163</v>
      </c>
      <c r="D349" s="105" t="s">
        <v>1</v>
      </c>
    </row>
    <row r="350" spans="1:4" ht="22.5" customHeight="1">
      <c r="A350" s="105">
        <v>349</v>
      </c>
      <c r="B350" s="105" t="s">
        <v>1164</v>
      </c>
      <c r="C350" s="105" t="s">
        <v>1165</v>
      </c>
      <c r="D350" s="105" t="s">
        <v>1</v>
      </c>
    </row>
    <row r="351" spans="1:4" ht="22.5" customHeight="1">
      <c r="A351" s="105">
        <v>350</v>
      </c>
      <c r="B351" s="105" t="s">
        <v>1166</v>
      </c>
      <c r="C351" s="105" t="s">
        <v>1167</v>
      </c>
      <c r="D351" s="105" t="s">
        <v>1</v>
      </c>
    </row>
    <row r="352" spans="1:4" ht="22.5" customHeight="1">
      <c r="A352" s="105">
        <v>351</v>
      </c>
      <c r="B352" s="105" t="s">
        <v>1168</v>
      </c>
      <c r="C352" s="105" t="s">
        <v>1169</v>
      </c>
      <c r="D352" s="105" t="s">
        <v>1</v>
      </c>
    </row>
    <row r="353" spans="1:4" ht="22.5" customHeight="1">
      <c r="A353" s="105">
        <v>352</v>
      </c>
      <c r="B353" s="105" t="s">
        <v>1170</v>
      </c>
      <c r="C353" s="105" t="s">
        <v>1171</v>
      </c>
      <c r="D353" s="105" t="s">
        <v>1</v>
      </c>
    </row>
    <row r="354" spans="1:4" ht="22.5" customHeight="1">
      <c r="A354" s="105">
        <v>353</v>
      </c>
      <c r="B354" s="105" t="s">
        <v>1172</v>
      </c>
      <c r="C354" s="105" t="s">
        <v>1173</v>
      </c>
      <c r="D354" s="105" t="s">
        <v>1</v>
      </c>
    </row>
    <row r="355" spans="1:4" ht="22.5" customHeight="1">
      <c r="A355" s="105">
        <v>354</v>
      </c>
      <c r="B355" s="105" t="s">
        <v>1174</v>
      </c>
      <c r="C355" s="105" t="s">
        <v>1175</v>
      </c>
      <c r="D355" s="105" t="s">
        <v>1</v>
      </c>
    </row>
    <row r="356" spans="1:4" ht="22.5" customHeight="1">
      <c r="A356" s="105">
        <v>355</v>
      </c>
      <c r="B356" s="105" t="s">
        <v>1176</v>
      </c>
      <c r="C356" s="105" t="s">
        <v>1177</v>
      </c>
      <c r="D356" s="105" t="s">
        <v>1</v>
      </c>
    </row>
    <row r="357" spans="1:4" ht="22.5" customHeight="1">
      <c r="A357" s="105">
        <v>356</v>
      </c>
      <c r="B357" s="105" t="s">
        <v>1178</v>
      </c>
      <c r="C357" s="105" t="s">
        <v>1179</v>
      </c>
      <c r="D357" s="105" t="s">
        <v>1</v>
      </c>
    </row>
    <row r="358" spans="1:4" ht="22.5" customHeight="1">
      <c r="A358" s="105">
        <v>357</v>
      </c>
      <c r="B358" s="105" t="s">
        <v>1180</v>
      </c>
      <c r="C358" s="105" t="s">
        <v>1181</v>
      </c>
      <c r="D358" s="105" t="s">
        <v>1</v>
      </c>
    </row>
    <row r="359" spans="1:4" ht="22.5" customHeight="1">
      <c r="A359" s="105">
        <v>358</v>
      </c>
      <c r="B359" s="105" t="s">
        <v>1182</v>
      </c>
      <c r="C359" s="105" t="s">
        <v>1183</v>
      </c>
      <c r="D359" s="105" t="s">
        <v>1</v>
      </c>
    </row>
    <row r="360" spans="1:4" ht="22.5" customHeight="1">
      <c r="A360" s="105">
        <v>359</v>
      </c>
      <c r="B360" s="105" t="s">
        <v>1184</v>
      </c>
      <c r="C360" s="105" t="s">
        <v>1185</v>
      </c>
      <c r="D360" s="105" t="s">
        <v>1</v>
      </c>
    </row>
    <row r="361" spans="1:4" ht="22.5" customHeight="1">
      <c r="A361" s="105">
        <v>360</v>
      </c>
      <c r="B361" s="105" t="s">
        <v>1186</v>
      </c>
      <c r="C361" s="105" t="s">
        <v>1187</v>
      </c>
      <c r="D361" s="105" t="s">
        <v>1</v>
      </c>
    </row>
    <row r="362" spans="1:4" ht="22.5" customHeight="1">
      <c r="A362" s="105">
        <v>361</v>
      </c>
      <c r="B362" s="105" t="s">
        <v>1188</v>
      </c>
      <c r="C362" s="105" t="s">
        <v>1189</v>
      </c>
      <c r="D362" s="105" t="s">
        <v>1</v>
      </c>
    </row>
    <row r="363" spans="1:4" ht="22.5" customHeight="1">
      <c r="A363" s="105">
        <v>362</v>
      </c>
      <c r="B363" s="105" t="s">
        <v>1190</v>
      </c>
      <c r="C363" s="105" t="s">
        <v>1191</v>
      </c>
      <c r="D363" s="105" t="s">
        <v>1</v>
      </c>
    </row>
    <row r="364" spans="1:4" ht="22.5" customHeight="1">
      <c r="A364" s="105">
        <v>363</v>
      </c>
      <c r="B364" s="105" t="s">
        <v>1192</v>
      </c>
      <c r="C364" s="105" t="s">
        <v>1193</v>
      </c>
      <c r="D364" s="105" t="s">
        <v>1</v>
      </c>
    </row>
    <row r="365" spans="1:4" ht="22.5" customHeight="1">
      <c r="A365" s="105">
        <v>364</v>
      </c>
      <c r="B365" s="105" t="s">
        <v>1194</v>
      </c>
      <c r="C365" s="105" t="s">
        <v>1195</v>
      </c>
      <c r="D365" s="105" t="s">
        <v>1</v>
      </c>
    </row>
    <row r="366" spans="1:4" ht="22.5" customHeight="1">
      <c r="A366" s="105">
        <v>365</v>
      </c>
      <c r="B366" s="105" t="s">
        <v>1196</v>
      </c>
      <c r="C366" s="105" t="s">
        <v>1197</v>
      </c>
      <c r="D366" s="105" t="s">
        <v>1</v>
      </c>
    </row>
    <row r="367" spans="1:4" ht="22.5" customHeight="1">
      <c r="A367" s="105">
        <v>366</v>
      </c>
      <c r="B367" s="105" t="s">
        <v>1198</v>
      </c>
      <c r="C367" s="105" t="s">
        <v>1199</v>
      </c>
      <c r="D367" s="105" t="s">
        <v>1</v>
      </c>
    </row>
    <row r="368" spans="1:4" ht="22.5" customHeight="1">
      <c r="A368" s="105">
        <v>367</v>
      </c>
      <c r="B368" s="105" t="s">
        <v>1200</v>
      </c>
      <c r="C368" s="105" t="s">
        <v>1201</v>
      </c>
      <c r="D368" s="105" t="s">
        <v>1</v>
      </c>
    </row>
    <row r="369" spans="1:4" ht="22.5" customHeight="1">
      <c r="A369" s="105">
        <v>368</v>
      </c>
      <c r="B369" s="105" t="s">
        <v>1202</v>
      </c>
      <c r="C369" s="105" t="s">
        <v>1203</v>
      </c>
      <c r="D369" s="105" t="s">
        <v>1</v>
      </c>
    </row>
    <row r="370" spans="1:4" ht="22.5" customHeight="1">
      <c r="A370" s="105">
        <v>369</v>
      </c>
      <c r="B370" s="105" t="s">
        <v>1204</v>
      </c>
      <c r="C370" s="105" t="s">
        <v>1205</v>
      </c>
      <c r="D370" s="105" t="s">
        <v>1</v>
      </c>
    </row>
    <row r="371" spans="1:4" ht="22.5" customHeight="1">
      <c r="A371" s="105">
        <v>370</v>
      </c>
      <c r="B371" s="105" t="s">
        <v>1206</v>
      </c>
      <c r="C371" s="105" t="s">
        <v>1207</v>
      </c>
      <c r="D371" s="105" t="s">
        <v>1</v>
      </c>
    </row>
    <row r="372" spans="1:4" ht="22.5" customHeight="1">
      <c r="A372" s="105">
        <v>371</v>
      </c>
      <c r="B372" s="105" t="s">
        <v>1208</v>
      </c>
      <c r="C372" s="105" t="s">
        <v>1209</v>
      </c>
      <c r="D372" s="105" t="s">
        <v>1</v>
      </c>
    </row>
    <row r="373" spans="1:4" ht="22.5" customHeight="1">
      <c r="A373" s="105">
        <v>372</v>
      </c>
      <c r="B373" s="105" t="s">
        <v>1210</v>
      </c>
      <c r="C373" s="105" t="s">
        <v>1</v>
      </c>
      <c r="D373" s="105" t="s">
        <v>1</v>
      </c>
    </row>
    <row r="374" spans="1:4" ht="22.5" customHeight="1">
      <c r="A374" s="105">
        <v>373</v>
      </c>
      <c r="B374" s="105" t="s">
        <v>1211</v>
      </c>
      <c r="C374" s="105" t="s">
        <v>1212</v>
      </c>
      <c r="D374" s="105" t="s">
        <v>1</v>
      </c>
    </row>
    <row r="375" spans="1:4" ht="22.5" customHeight="1">
      <c r="A375" s="105">
        <v>374</v>
      </c>
      <c r="B375" s="105" t="s">
        <v>1213</v>
      </c>
      <c r="C375" s="105" t="s">
        <v>1214</v>
      </c>
      <c r="D375" s="105" t="s">
        <v>1</v>
      </c>
    </row>
    <row r="376" spans="1:4" ht="22.5" customHeight="1">
      <c r="A376" s="105">
        <v>375</v>
      </c>
      <c r="B376" s="105" t="s">
        <v>1215</v>
      </c>
      <c r="C376" s="105" t="s">
        <v>1216</v>
      </c>
      <c r="D376" s="105" t="s">
        <v>1</v>
      </c>
    </row>
    <row r="377" spans="1:4" ht="22.5" customHeight="1">
      <c r="A377" s="105">
        <v>376</v>
      </c>
      <c r="B377" s="105" t="s">
        <v>1217</v>
      </c>
      <c r="C377" s="105" t="s">
        <v>1218</v>
      </c>
      <c r="D377" s="105" t="s">
        <v>1</v>
      </c>
    </row>
    <row r="378" spans="1:4" ht="22.5" customHeight="1">
      <c r="A378" s="105">
        <v>377</v>
      </c>
      <c r="B378" s="105" t="s">
        <v>1219</v>
      </c>
      <c r="C378" s="105" t="s">
        <v>1220</v>
      </c>
      <c r="D378" s="105" t="s">
        <v>1</v>
      </c>
    </row>
    <row r="379" spans="1:4" ht="22.5" customHeight="1">
      <c r="A379" s="105">
        <v>378</v>
      </c>
      <c r="B379" s="105" t="s">
        <v>1221</v>
      </c>
      <c r="C379" s="105" t="s">
        <v>1222</v>
      </c>
      <c r="D379" s="105" t="s">
        <v>1</v>
      </c>
    </row>
    <row r="380" spans="1:4" ht="22.5" customHeight="1">
      <c r="A380" s="105">
        <v>379</v>
      </c>
      <c r="B380" s="105" t="s">
        <v>1223</v>
      </c>
      <c r="C380" s="105" t="s">
        <v>1224</v>
      </c>
      <c r="D380" s="105" t="s">
        <v>1</v>
      </c>
    </row>
    <row r="381" spans="1:4" ht="22.5" customHeight="1">
      <c r="A381" s="105">
        <v>380</v>
      </c>
      <c r="B381" s="105" t="s">
        <v>1225</v>
      </c>
      <c r="C381" s="105" t="s">
        <v>1226</v>
      </c>
      <c r="D381" s="105" t="s">
        <v>1</v>
      </c>
    </row>
    <row r="382" spans="1:4" ht="22.5" customHeight="1">
      <c r="A382" s="105">
        <v>381</v>
      </c>
      <c r="B382" s="105" t="s">
        <v>1227</v>
      </c>
      <c r="C382" s="105" t="s">
        <v>1228</v>
      </c>
      <c r="D382" s="105" t="s">
        <v>1</v>
      </c>
    </row>
    <row r="383" spans="1:4" ht="22.5" customHeight="1">
      <c r="A383" s="105">
        <v>382</v>
      </c>
      <c r="B383" s="105" t="s">
        <v>1229</v>
      </c>
      <c r="C383" s="105" t="s">
        <v>1230</v>
      </c>
      <c r="D383" s="105" t="s">
        <v>1</v>
      </c>
    </row>
    <row r="384" spans="1:4" ht="22.5" customHeight="1">
      <c r="A384" s="105">
        <v>383</v>
      </c>
      <c r="B384" s="105" t="s">
        <v>1231</v>
      </c>
      <c r="C384" s="105" t="s">
        <v>1232</v>
      </c>
      <c r="D384" s="105" t="s">
        <v>1</v>
      </c>
    </row>
    <row r="385" spans="1:4" ht="22.5" customHeight="1">
      <c r="A385" s="105">
        <v>384</v>
      </c>
      <c r="B385" s="105" t="s">
        <v>1233</v>
      </c>
      <c r="C385" s="105" t="s">
        <v>1234</v>
      </c>
      <c r="D385" s="105" t="s">
        <v>1</v>
      </c>
    </row>
    <row r="386" spans="1:4" ht="22.5" customHeight="1">
      <c r="A386" s="105">
        <v>385</v>
      </c>
      <c r="B386" s="105" t="s">
        <v>1235</v>
      </c>
      <c r="C386" s="105" t="s">
        <v>4049</v>
      </c>
      <c r="D386" s="105" t="s">
        <v>1</v>
      </c>
    </row>
    <row r="387" spans="1:4" ht="22.5" customHeight="1">
      <c r="A387" s="105">
        <v>386</v>
      </c>
      <c r="B387" s="105" t="s">
        <v>1236</v>
      </c>
      <c r="C387" s="105" t="s">
        <v>1237</v>
      </c>
      <c r="D387" s="105" t="s">
        <v>1</v>
      </c>
    </row>
    <row r="388" spans="1:4" ht="22.5" customHeight="1">
      <c r="A388" s="105">
        <v>387</v>
      </c>
      <c r="B388" s="105" t="s">
        <v>1238</v>
      </c>
      <c r="C388" s="105" t="s">
        <v>1239</v>
      </c>
      <c r="D388" s="105" t="s">
        <v>1</v>
      </c>
    </row>
    <row r="389" spans="1:4" ht="22.5" customHeight="1">
      <c r="A389" s="105">
        <v>388</v>
      </c>
      <c r="B389" s="105" t="s">
        <v>1240</v>
      </c>
      <c r="C389" s="105" t="s">
        <v>1241</v>
      </c>
      <c r="D389" s="105" t="s">
        <v>1</v>
      </c>
    </row>
    <row r="390" spans="1:4" ht="22.5" customHeight="1">
      <c r="A390" s="105">
        <v>389</v>
      </c>
      <c r="B390" s="105" t="s">
        <v>1242</v>
      </c>
      <c r="C390" s="105" t="s">
        <v>1243</v>
      </c>
      <c r="D390" s="105" t="s">
        <v>1</v>
      </c>
    </row>
    <row r="391" spans="1:4" ht="22.5" customHeight="1">
      <c r="A391" s="105">
        <v>390</v>
      </c>
      <c r="B391" s="105" t="s">
        <v>1244</v>
      </c>
      <c r="C391" s="105" t="s">
        <v>1245</v>
      </c>
      <c r="D391" s="105" t="s">
        <v>1</v>
      </c>
    </row>
    <row r="392" spans="1:4" ht="22.5" customHeight="1">
      <c r="A392" s="105">
        <v>391</v>
      </c>
      <c r="B392" s="105" t="s">
        <v>1246</v>
      </c>
      <c r="C392" s="105" t="s">
        <v>1247</v>
      </c>
      <c r="D392" s="105" t="s">
        <v>1</v>
      </c>
    </row>
    <row r="393" spans="1:4" ht="22.5" customHeight="1">
      <c r="A393" s="105">
        <v>392</v>
      </c>
      <c r="B393" s="105" t="s">
        <v>1248</v>
      </c>
      <c r="C393" s="105" t="s">
        <v>1249</v>
      </c>
      <c r="D393" s="105" t="s">
        <v>1</v>
      </c>
    </row>
    <row r="394" spans="1:4" ht="22.5" customHeight="1">
      <c r="A394" s="105">
        <v>393</v>
      </c>
      <c r="B394" s="109" t="s">
        <v>1250</v>
      </c>
      <c r="C394" s="105" t="s">
        <v>1251</v>
      </c>
      <c r="D394" s="105" t="s">
        <v>1</v>
      </c>
    </row>
    <row r="395" spans="1:4" ht="22.5" customHeight="1">
      <c r="A395" s="105">
        <v>394</v>
      </c>
      <c r="B395" s="105" t="s">
        <v>1252</v>
      </c>
      <c r="C395" s="105" t="s">
        <v>1253</v>
      </c>
      <c r="D395" s="105" t="s">
        <v>1</v>
      </c>
    </row>
    <row r="396" spans="1:4" ht="22.5" customHeight="1">
      <c r="A396" s="105">
        <v>395</v>
      </c>
      <c r="B396" s="105" t="s">
        <v>1254</v>
      </c>
      <c r="C396" s="105" t="s">
        <v>1255</v>
      </c>
      <c r="D396" s="105" t="s">
        <v>1</v>
      </c>
    </row>
    <row r="397" spans="1:4" ht="22.5" customHeight="1">
      <c r="A397" s="105">
        <v>396</v>
      </c>
      <c r="B397" s="105" t="s">
        <v>1256</v>
      </c>
      <c r="C397" s="105" t="s">
        <v>1257</v>
      </c>
      <c r="D397" s="105" t="s">
        <v>1</v>
      </c>
    </row>
    <row r="398" spans="1:4" ht="22.5" customHeight="1">
      <c r="A398" s="105">
        <v>397</v>
      </c>
      <c r="B398" s="105" t="s">
        <v>1258</v>
      </c>
      <c r="C398" s="105" t="s">
        <v>4050</v>
      </c>
      <c r="D398" s="105" t="s">
        <v>1</v>
      </c>
    </row>
    <row r="399" spans="1:4" ht="22.5" customHeight="1">
      <c r="A399" s="105">
        <v>398</v>
      </c>
      <c r="B399" s="105" t="s">
        <v>1259</v>
      </c>
      <c r="C399" s="105" t="s">
        <v>4051</v>
      </c>
      <c r="D399" s="105" t="s">
        <v>1</v>
      </c>
    </row>
    <row r="400" spans="1:4" ht="22.5" customHeight="1">
      <c r="A400" s="105">
        <v>399</v>
      </c>
      <c r="B400" s="105" t="s">
        <v>1260</v>
      </c>
      <c r="C400" s="105" t="s">
        <v>1261</v>
      </c>
      <c r="D400" s="105" t="s">
        <v>1</v>
      </c>
    </row>
    <row r="401" spans="1:4" ht="22.5" customHeight="1">
      <c r="A401" s="105">
        <v>400</v>
      </c>
      <c r="B401" s="105" t="s">
        <v>1262</v>
      </c>
      <c r="C401" s="105" t="s">
        <v>1263</v>
      </c>
      <c r="D401" s="105" t="s">
        <v>1</v>
      </c>
    </row>
    <row r="402" spans="1:4" ht="22.5" customHeight="1">
      <c r="A402" s="105">
        <v>401</v>
      </c>
      <c r="B402" s="105" t="s">
        <v>1264</v>
      </c>
      <c r="C402" s="105" t="s">
        <v>4052</v>
      </c>
      <c r="D402" s="105" t="s">
        <v>1</v>
      </c>
    </row>
    <row r="403" spans="1:4" ht="22.5" customHeight="1">
      <c r="A403" s="105">
        <v>402</v>
      </c>
      <c r="B403" s="105" t="s">
        <v>1265</v>
      </c>
      <c r="C403" s="105" t="s">
        <v>4053</v>
      </c>
      <c r="D403" s="105" t="s">
        <v>1</v>
      </c>
    </row>
    <row r="404" spans="1:4" ht="22.5" customHeight="1">
      <c r="A404" s="105">
        <v>403</v>
      </c>
      <c r="B404" s="105" t="s">
        <v>1266</v>
      </c>
      <c r="C404" s="105" t="s">
        <v>1267</v>
      </c>
      <c r="D404" s="105" t="s">
        <v>1</v>
      </c>
    </row>
    <row r="405" spans="1:4" ht="22.5" customHeight="1">
      <c r="A405" s="105">
        <v>404</v>
      </c>
      <c r="B405" s="105" t="s">
        <v>1268</v>
      </c>
      <c r="C405" s="105" t="s">
        <v>1269</v>
      </c>
      <c r="D405" s="105" t="s">
        <v>1</v>
      </c>
    </row>
    <row r="406" spans="1:4" ht="22.5" customHeight="1">
      <c r="A406" s="105">
        <v>405</v>
      </c>
      <c r="B406" s="105" t="s">
        <v>1270</v>
      </c>
      <c r="C406" s="105" t="s">
        <v>1271</v>
      </c>
      <c r="D406" s="105" t="s">
        <v>1</v>
      </c>
    </row>
    <row r="407" spans="1:4" ht="22.5" customHeight="1">
      <c r="A407" s="105">
        <v>406</v>
      </c>
      <c r="B407" s="105" t="s">
        <v>1272</v>
      </c>
      <c r="C407" s="105" t="s">
        <v>1273</v>
      </c>
      <c r="D407" s="105" t="s">
        <v>1</v>
      </c>
    </row>
    <row r="408" spans="1:4" ht="22.5" customHeight="1">
      <c r="A408" s="105">
        <v>407</v>
      </c>
      <c r="B408" s="105" t="s">
        <v>1274</v>
      </c>
      <c r="C408" s="105" t="s">
        <v>1275</v>
      </c>
      <c r="D408" s="105" t="s">
        <v>1</v>
      </c>
    </row>
    <row r="409" spans="1:4" ht="22.5" customHeight="1">
      <c r="A409" s="105">
        <v>408</v>
      </c>
      <c r="B409" s="105" t="s">
        <v>1276</v>
      </c>
      <c r="C409" s="105" t="s">
        <v>1277</v>
      </c>
      <c r="D409" s="105" t="s">
        <v>1</v>
      </c>
    </row>
    <row r="410" spans="1:4" ht="22.5" customHeight="1">
      <c r="A410" s="105">
        <v>409</v>
      </c>
      <c r="B410" s="105" t="s">
        <v>1278</v>
      </c>
      <c r="C410" s="105" t="s">
        <v>1279</v>
      </c>
      <c r="D410" s="105" t="s">
        <v>1</v>
      </c>
    </row>
    <row r="411" spans="1:4" ht="22.5" customHeight="1">
      <c r="A411" s="105">
        <v>410</v>
      </c>
      <c r="B411" s="105" t="s">
        <v>1280</v>
      </c>
      <c r="C411" s="105" t="s">
        <v>1281</v>
      </c>
      <c r="D411" s="105" t="s">
        <v>1</v>
      </c>
    </row>
    <row r="412" spans="1:4" ht="22.5" customHeight="1">
      <c r="A412" s="105">
        <v>411</v>
      </c>
      <c r="B412" s="105" t="s">
        <v>1282</v>
      </c>
      <c r="C412" s="105" t="s">
        <v>1283</v>
      </c>
      <c r="D412" s="105" t="s">
        <v>1</v>
      </c>
    </row>
    <row r="413" spans="1:4" ht="22.5" customHeight="1">
      <c r="A413" s="105">
        <v>412</v>
      </c>
      <c r="B413" s="105" t="s">
        <v>1284</v>
      </c>
      <c r="C413" s="105" t="s">
        <v>1285</v>
      </c>
      <c r="D413" s="105" t="s">
        <v>1</v>
      </c>
    </row>
    <row r="414" spans="1:4" ht="22.5" customHeight="1">
      <c r="A414" s="105">
        <v>413</v>
      </c>
      <c r="B414" s="105" t="s">
        <v>1286</v>
      </c>
      <c r="C414" s="105" t="s">
        <v>1287</v>
      </c>
      <c r="D414" s="105" t="s">
        <v>1</v>
      </c>
    </row>
    <row r="415" spans="1:4" ht="22.5" customHeight="1">
      <c r="A415" s="105">
        <v>414</v>
      </c>
      <c r="B415" s="105" t="s">
        <v>1288</v>
      </c>
      <c r="C415" s="105" t="s">
        <v>4054</v>
      </c>
      <c r="D415" s="105" t="s">
        <v>1</v>
      </c>
    </row>
    <row r="416" spans="1:4" ht="22.5" customHeight="1">
      <c r="A416" s="105">
        <v>415</v>
      </c>
      <c r="B416" s="105" t="s">
        <v>1289</v>
      </c>
      <c r="C416" s="105" t="s">
        <v>1290</v>
      </c>
      <c r="D416" s="105" t="s">
        <v>1</v>
      </c>
    </row>
    <row r="417" spans="1:4" ht="22.5" customHeight="1">
      <c r="A417" s="105">
        <v>416</v>
      </c>
      <c r="B417" s="105" t="s">
        <v>1291</v>
      </c>
      <c r="C417" s="105" t="s">
        <v>1292</v>
      </c>
      <c r="D417" s="105" t="s">
        <v>1</v>
      </c>
    </row>
    <row r="418" spans="1:4" ht="22.5" customHeight="1">
      <c r="A418" s="105">
        <v>417</v>
      </c>
      <c r="B418" s="105" t="s">
        <v>1293</v>
      </c>
      <c r="C418" s="105" t="s">
        <v>1294</v>
      </c>
      <c r="D418" s="105" t="s">
        <v>1</v>
      </c>
    </row>
    <row r="419" spans="1:4" ht="22.5" customHeight="1">
      <c r="A419" s="105">
        <v>418</v>
      </c>
      <c r="B419" s="105" t="s">
        <v>1295</v>
      </c>
      <c r="C419" s="105" t="s">
        <v>1296</v>
      </c>
      <c r="D419" s="105" t="s">
        <v>1</v>
      </c>
    </row>
    <row r="420" spans="1:4" ht="22.5" customHeight="1">
      <c r="A420" s="105">
        <v>419</v>
      </c>
      <c r="B420" s="105" t="s">
        <v>1297</v>
      </c>
      <c r="C420" s="105" t="s">
        <v>1298</v>
      </c>
      <c r="D420" s="105" t="s">
        <v>1</v>
      </c>
    </row>
    <row r="421" spans="1:4" ht="22.5" customHeight="1">
      <c r="A421" s="105">
        <v>420</v>
      </c>
      <c r="B421" s="105" t="s">
        <v>1299</v>
      </c>
      <c r="C421" s="105" t="s">
        <v>1300</v>
      </c>
      <c r="D421" s="105" t="s">
        <v>1</v>
      </c>
    </row>
    <row r="422" spans="1:4" ht="22.5" customHeight="1">
      <c r="A422" s="105">
        <v>421</v>
      </c>
      <c r="B422" s="105" t="s">
        <v>1301</v>
      </c>
      <c r="C422" s="105" t="s">
        <v>1302</v>
      </c>
      <c r="D422" s="105" t="s">
        <v>1</v>
      </c>
    </row>
    <row r="423" spans="1:4" ht="22.5" customHeight="1">
      <c r="A423" s="105">
        <v>422</v>
      </c>
      <c r="B423" s="105" t="s">
        <v>1303</v>
      </c>
      <c r="C423" s="105" t="s">
        <v>1304</v>
      </c>
      <c r="D423" s="105" t="s">
        <v>1</v>
      </c>
    </row>
    <row r="424" spans="1:4" ht="22.5" customHeight="1">
      <c r="A424" s="105">
        <v>423</v>
      </c>
      <c r="B424" s="105" t="s">
        <v>1305</v>
      </c>
      <c r="C424" s="105" t="s">
        <v>1306</v>
      </c>
      <c r="D424" s="105" t="s">
        <v>1</v>
      </c>
    </row>
    <row r="425" spans="1:4" ht="22.5" customHeight="1">
      <c r="A425" s="105">
        <v>424</v>
      </c>
      <c r="B425" s="105" t="s">
        <v>1307</v>
      </c>
      <c r="C425" s="105" t="s">
        <v>1308</v>
      </c>
      <c r="D425" s="105" t="s">
        <v>1</v>
      </c>
    </row>
    <row r="426" spans="1:4" ht="22.5" customHeight="1">
      <c r="A426" s="105">
        <v>425</v>
      </c>
      <c r="B426" s="109" t="s">
        <v>1309</v>
      </c>
      <c r="C426" s="105" t="s">
        <v>1310</v>
      </c>
      <c r="D426" s="105" t="s">
        <v>1</v>
      </c>
    </row>
    <row r="427" spans="1:4" ht="22.5" customHeight="1">
      <c r="A427" s="105">
        <v>426</v>
      </c>
      <c r="B427" s="105" t="s">
        <v>1311</v>
      </c>
      <c r="C427" s="105" t="s">
        <v>1312</v>
      </c>
      <c r="D427" s="105" t="s">
        <v>1</v>
      </c>
    </row>
    <row r="428" spans="1:4" ht="22.5" customHeight="1">
      <c r="A428" s="105">
        <v>427</v>
      </c>
      <c r="B428" s="105" t="s">
        <v>1313</v>
      </c>
      <c r="C428" s="105" t="s">
        <v>1314</v>
      </c>
      <c r="D428" s="105" t="s">
        <v>1</v>
      </c>
    </row>
    <row r="429" spans="1:4" ht="22.5" customHeight="1">
      <c r="A429" s="105">
        <v>428</v>
      </c>
      <c r="B429" s="105" t="s">
        <v>1315</v>
      </c>
      <c r="C429" s="105" t="s">
        <v>1316</v>
      </c>
      <c r="D429" s="105" t="s">
        <v>1</v>
      </c>
    </row>
    <row r="430" spans="1:4" ht="22.5" customHeight="1">
      <c r="A430" s="105">
        <v>429</v>
      </c>
      <c r="B430" s="105" t="s">
        <v>1317</v>
      </c>
      <c r="C430" s="105" t="s">
        <v>1318</v>
      </c>
      <c r="D430" s="105" t="s">
        <v>1</v>
      </c>
    </row>
    <row r="431" spans="1:4" ht="22.5" customHeight="1">
      <c r="A431" s="105">
        <v>430</v>
      </c>
      <c r="B431" s="105" t="s">
        <v>1319</v>
      </c>
      <c r="C431" s="105" t="s">
        <v>4055</v>
      </c>
      <c r="D431" s="105" t="s">
        <v>1</v>
      </c>
    </row>
    <row r="432" spans="1:4" ht="22.5" customHeight="1">
      <c r="A432" s="105">
        <v>431</v>
      </c>
      <c r="B432" s="105" t="s">
        <v>1320</v>
      </c>
      <c r="C432" s="105" t="s">
        <v>1321</v>
      </c>
      <c r="D432" s="105" t="s">
        <v>1</v>
      </c>
    </row>
    <row r="433" spans="1:4" ht="22.5" customHeight="1">
      <c r="A433" s="105">
        <v>432</v>
      </c>
      <c r="B433" s="105" t="s">
        <v>1322</v>
      </c>
      <c r="C433" s="105" t="s">
        <v>1323</v>
      </c>
      <c r="D433" s="105" t="s">
        <v>1</v>
      </c>
    </row>
    <row r="434" spans="1:4" ht="22.5" customHeight="1">
      <c r="A434" s="105">
        <v>433</v>
      </c>
      <c r="B434" s="105" t="s">
        <v>1324</v>
      </c>
      <c r="C434" s="105" t="s">
        <v>1325</v>
      </c>
      <c r="D434" s="105" t="s">
        <v>1</v>
      </c>
    </row>
    <row r="435" spans="1:4" ht="22.5" customHeight="1">
      <c r="A435" s="105">
        <v>434</v>
      </c>
      <c r="B435" s="105" t="s">
        <v>1326</v>
      </c>
      <c r="C435" s="105" t="s">
        <v>1327</v>
      </c>
      <c r="D435" s="105" t="s">
        <v>1</v>
      </c>
    </row>
    <row r="436" spans="1:4" ht="22.5" customHeight="1">
      <c r="A436" s="105">
        <v>435</v>
      </c>
      <c r="B436" s="105" t="s">
        <v>1328</v>
      </c>
      <c r="C436" s="105" t="s">
        <v>1329</v>
      </c>
      <c r="D436" s="105" t="s">
        <v>1</v>
      </c>
    </row>
    <row r="437" spans="1:4" ht="22.5" customHeight="1">
      <c r="A437" s="105">
        <v>436</v>
      </c>
      <c r="B437" s="105" t="s">
        <v>1330</v>
      </c>
      <c r="C437" s="105" t="s">
        <v>1331</v>
      </c>
      <c r="D437" s="105" t="s">
        <v>1</v>
      </c>
    </row>
    <row r="438" spans="1:4" ht="22.5" customHeight="1">
      <c r="A438" s="105">
        <v>437</v>
      </c>
      <c r="B438" s="105" t="s">
        <v>1332</v>
      </c>
      <c r="C438" s="105" t="s">
        <v>1333</v>
      </c>
      <c r="D438" s="105" t="s">
        <v>1</v>
      </c>
    </row>
    <row r="439" spans="1:4" ht="22.5" customHeight="1">
      <c r="A439" s="105">
        <v>438</v>
      </c>
      <c r="B439" s="105" t="s">
        <v>1334</v>
      </c>
      <c r="C439" s="105" t="s">
        <v>1335</v>
      </c>
      <c r="D439" s="105" t="s">
        <v>1</v>
      </c>
    </row>
    <row r="440" spans="1:4" ht="22.5" customHeight="1">
      <c r="A440" s="105">
        <v>439</v>
      </c>
      <c r="B440" s="105" t="s">
        <v>1336</v>
      </c>
      <c r="C440" s="105" t="s">
        <v>1337</v>
      </c>
      <c r="D440" s="105" t="s">
        <v>1</v>
      </c>
    </row>
    <row r="441" spans="1:4" ht="22.5" customHeight="1">
      <c r="A441" s="105">
        <v>440</v>
      </c>
      <c r="B441" s="105" t="s">
        <v>1338</v>
      </c>
      <c r="C441" s="105" t="s">
        <v>1339</v>
      </c>
      <c r="D441" s="105" t="s">
        <v>1</v>
      </c>
    </row>
    <row r="442" spans="1:4" ht="22.5" customHeight="1">
      <c r="A442" s="105">
        <v>441</v>
      </c>
      <c r="B442" s="105" t="s">
        <v>1340</v>
      </c>
      <c r="C442" s="105" t="s">
        <v>1341</v>
      </c>
      <c r="D442" s="105" t="s">
        <v>1</v>
      </c>
    </row>
    <row r="443" spans="1:4" ht="22.5" customHeight="1">
      <c r="A443" s="105">
        <v>442</v>
      </c>
      <c r="B443" s="105" t="s">
        <v>1342</v>
      </c>
      <c r="C443" s="105" t="s">
        <v>1343</v>
      </c>
      <c r="D443" s="105" t="s">
        <v>1</v>
      </c>
    </row>
    <row r="444" spans="1:4" ht="22.5" customHeight="1">
      <c r="A444" s="105">
        <v>443</v>
      </c>
      <c r="B444" s="105" t="s">
        <v>1344</v>
      </c>
      <c r="C444" s="105" t="s">
        <v>1345</v>
      </c>
      <c r="D444" s="105" t="s">
        <v>1</v>
      </c>
    </row>
    <row r="445" spans="1:4" ht="22.5" customHeight="1">
      <c r="A445" s="105">
        <v>444</v>
      </c>
      <c r="B445" s="105" t="s">
        <v>1346</v>
      </c>
      <c r="C445" s="105" t="s">
        <v>1347</v>
      </c>
      <c r="D445" s="105" t="s">
        <v>1</v>
      </c>
    </row>
    <row r="446" spans="1:4" ht="22.5" customHeight="1">
      <c r="A446" s="105">
        <v>445</v>
      </c>
      <c r="B446" s="105" t="s">
        <v>1348</v>
      </c>
      <c r="C446" s="105" t="s">
        <v>1349</v>
      </c>
      <c r="D446" s="105" t="s">
        <v>1</v>
      </c>
    </row>
    <row r="447" spans="1:4" ht="22.5" customHeight="1">
      <c r="A447" s="105">
        <v>446</v>
      </c>
      <c r="B447" s="105" t="s">
        <v>1350</v>
      </c>
      <c r="C447" s="105" t="s">
        <v>1351</v>
      </c>
      <c r="D447" s="105" t="s">
        <v>1</v>
      </c>
    </row>
    <row r="448" spans="1:4" ht="22.5" customHeight="1">
      <c r="A448" s="105">
        <v>447</v>
      </c>
      <c r="B448" s="105" t="s">
        <v>1352</v>
      </c>
      <c r="C448" s="105" t="s">
        <v>1353</v>
      </c>
      <c r="D448" s="105" t="s">
        <v>1</v>
      </c>
    </row>
    <row r="449" spans="1:4" ht="22.5" customHeight="1">
      <c r="A449" s="105">
        <v>448</v>
      </c>
      <c r="B449" s="105" t="s">
        <v>1354</v>
      </c>
      <c r="C449" s="105" t="s">
        <v>1355</v>
      </c>
      <c r="D449" s="105" t="s">
        <v>1</v>
      </c>
    </row>
    <row r="450" spans="1:4" ht="22.5" customHeight="1">
      <c r="A450" s="105">
        <v>449</v>
      </c>
      <c r="B450" s="105" t="s">
        <v>1356</v>
      </c>
      <c r="C450" s="105" t="s">
        <v>1357</v>
      </c>
      <c r="D450" s="105" t="s">
        <v>1</v>
      </c>
    </row>
    <row r="451" spans="1:4" ht="22.5" customHeight="1">
      <c r="A451" s="105">
        <v>450</v>
      </c>
      <c r="B451" s="105" t="s">
        <v>1358</v>
      </c>
      <c r="C451" s="105" t="s">
        <v>1359</v>
      </c>
      <c r="D451" s="105" t="s">
        <v>1</v>
      </c>
    </row>
    <row r="452" spans="1:4" ht="22.5" customHeight="1">
      <c r="A452" s="105">
        <v>451</v>
      </c>
      <c r="B452" s="105" t="s">
        <v>1360</v>
      </c>
      <c r="C452" s="105" t="s">
        <v>1361</v>
      </c>
      <c r="D452" s="105" t="s">
        <v>1</v>
      </c>
    </row>
    <row r="453" spans="1:4" ht="22.5" customHeight="1">
      <c r="A453" s="105">
        <v>452</v>
      </c>
      <c r="B453" s="105" t="s">
        <v>1362</v>
      </c>
      <c r="C453" s="105" t="s">
        <v>1363</v>
      </c>
      <c r="D453" s="105" t="s">
        <v>1</v>
      </c>
    </row>
    <row r="454" spans="1:4" ht="22.5" customHeight="1">
      <c r="A454" s="105">
        <v>453</v>
      </c>
      <c r="B454" s="105" t="s">
        <v>1364</v>
      </c>
      <c r="C454" s="105" t="s">
        <v>1365</v>
      </c>
      <c r="D454" s="105" t="s">
        <v>1</v>
      </c>
    </row>
    <row r="455" spans="1:4" ht="22.5" customHeight="1">
      <c r="A455" s="105">
        <v>454</v>
      </c>
      <c r="B455" s="105" t="s">
        <v>1366</v>
      </c>
      <c r="C455" s="105" t="s">
        <v>1367</v>
      </c>
      <c r="D455" s="105" t="s">
        <v>1</v>
      </c>
    </row>
    <row r="456" spans="1:4" ht="22.5" customHeight="1">
      <c r="A456" s="105">
        <v>455</v>
      </c>
      <c r="B456" s="105" t="s">
        <v>1368</v>
      </c>
      <c r="C456" s="105" t="s">
        <v>1369</v>
      </c>
      <c r="D456" s="105" t="s">
        <v>1</v>
      </c>
    </row>
    <row r="457" spans="1:4" ht="22.5" customHeight="1">
      <c r="A457" s="105">
        <v>456</v>
      </c>
      <c r="B457" s="105" t="s">
        <v>1370</v>
      </c>
      <c r="C457" s="105" t="s">
        <v>1371</v>
      </c>
      <c r="D457" s="105" t="s">
        <v>1</v>
      </c>
    </row>
    <row r="458" spans="1:4" ht="22.5" customHeight="1">
      <c r="A458" s="105">
        <v>457</v>
      </c>
      <c r="B458" s="105" t="s">
        <v>1372</v>
      </c>
      <c r="C458" s="105" t="s">
        <v>1373</v>
      </c>
      <c r="D458" s="105" t="s">
        <v>1</v>
      </c>
    </row>
    <row r="459" spans="1:4" ht="22.5" customHeight="1">
      <c r="A459" s="105">
        <v>458</v>
      </c>
      <c r="B459" s="105" t="s">
        <v>1374</v>
      </c>
      <c r="C459" s="105" t="s">
        <v>1375</v>
      </c>
      <c r="D459" s="105" t="s">
        <v>1</v>
      </c>
    </row>
    <row r="460" spans="1:4" ht="22.5" customHeight="1">
      <c r="A460" s="105">
        <v>459</v>
      </c>
      <c r="B460" s="105" t="s">
        <v>1376</v>
      </c>
      <c r="C460" s="105" t="s">
        <v>1377</v>
      </c>
      <c r="D460" s="105" t="s">
        <v>1</v>
      </c>
    </row>
    <row r="461" spans="1:4" ht="22.5" customHeight="1">
      <c r="A461" s="105">
        <v>460</v>
      </c>
      <c r="B461" s="105" t="s">
        <v>1378</v>
      </c>
      <c r="C461" s="105" t="s">
        <v>1379</v>
      </c>
      <c r="D461" s="105" t="s">
        <v>1</v>
      </c>
    </row>
    <row r="462" spans="1:4" ht="22.5" customHeight="1">
      <c r="A462" s="105">
        <v>461</v>
      </c>
      <c r="B462" s="105" t="s">
        <v>1380</v>
      </c>
      <c r="C462" s="105" t="s">
        <v>1381</v>
      </c>
      <c r="D462" s="105" t="s">
        <v>1</v>
      </c>
    </row>
    <row r="463" spans="1:4" ht="22.5" customHeight="1">
      <c r="A463" s="105">
        <v>462</v>
      </c>
      <c r="B463" s="105" t="s">
        <v>1382</v>
      </c>
      <c r="C463" s="105" t="s">
        <v>1383</v>
      </c>
      <c r="D463" s="105" t="s">
        <v>1</v>
      </c>
    </row>
    <row r="464" spans="1:4" ht="22.5" customHeight="1">
      <c r="A464" s="105">
        <v>463</v>
      </c>
      <c r="B464" s="105" t="s">
        <v>1384</v>
      </c>
      <c r="C464" s="105" t="s">
        <v>1385</v>
      </c>
      <c r="D464" s="105" t="s">
        <v>1</v>
      </c>
    </row>
    <row r="465" spans="1:4" ht="22.5" customHeight="1">
      <c r="A465" s="105">
        <v>464</v>
      </c>
      <c r="B465" s="105" t="s">
        <v>1386</v>
      </c>
      <c r="C465" s="105" t="s">
        <v>1387</v>
      </c>
      <c r="D465" s="105" t="s">
        <v>1</v>
      </c>
    </row>
    <row r="466" spans="1:4" ht="22.5" customHeight="1">
      <c r="A466" s="105">
        <v>465</v>
      </c>
      <c r="B466" s="105" t="s">
        <v>1388</v>
      </c>
      <c r="C466" s="105" t="s">
        <v>1389</v>
      </c>
      <c r="D466" s="105" t="s">
        <v>1</v>
      </c>
    </row>
    <row r="467" spans="1:4" ht="22.5" customHeight="1">
      <c r="A467" s="105">
        <v>466</v>
      </c>
      <c r="B467" s="105" t="s">
        <v>1390</v>
      </c>
      <c r="C467" s="105" t="s">
        <v>1391</v>
      </c>
      <c r="D467" s="105" t="s">
        <v>1</v>
      </c>
    </row>
    <row r="468" spans="1:4" ht="22.5" customHeight="1">
      <c r="A468" s="105">
        <v>467</v>
      </c>
      <c r="B468" s="105" t="s">
        <v>1392</v>
      </c>
      <c r="C468" s="105" t="s">
        <v>1393</v>
      </c>
      <c r="D468" s="105" t="s">
        <v>1</v>
      </c>
    </row>
    <row r="469" spans="1:4" ht="22.5" customHeight="1">
      <c r="A469" s="105">
        <v>468</v>
      </c>
      <c r="B469" s="105" t="s">
        <v>1394</v>
      </c>
      <c r="C469" s="105" t="s">
        <v>1395</v>
      </c>
      <c r="D469" s="105" t="s">
        <v>1</v>
      </c>
    </row>
    <row r="470" spans="1:4" ht="22.5" customHeight="1">
      <c r="A470" s="105">
        <v>469</v>
      </c>
      <c r="B470" s="105" t="s">
        <v>1396</v>
      </c>
      <c r="C470" s="105" t="s">
        <v>1397</v>
      </c>
      <c r="D470" s="105" t="s">
        <v>1</v>
      </c>
    </row>
    <row r="471" spans="1:4" ht="22.5" customHeight="1">
      <c r="A471" s="105">
        <v>470</v>
      </c>
      <c r="B471" s="105" t="s">
        <v>1398</v>
      </c>
      <c r="C471" s="105" t="s">
        <v>1399</v>
      </c>
      <c r="D471" s="105" t="s">
        <v>1</v>
      </c>
    </row>
    <row r="472" spans="1:4" ht="22.5" customHeight="1">
      <c r="A472" s="105">
        <v>471</v>
      </c>
      <c r="B472" s="105" t="s">
        <v>1400</v>
      </c>
      <c r="C472" s="105" t="s">
        <v>1401</v>
      </c>
      <c r="D472" s="105" t="s">
        <v>1</v>
      </c>
    </row>
    <row r="473" spans="1:4" ht="22.5" customHeight="1">
      <c r="A473" s="105">
        <v>472</v>
      </c>
      <c r="B473" s="105" t="s">
        <v>1402</v>
      </c>
      <c r="C473" s="105" t="s">
        <v>1403</v>
      </c>
      <c r="D473" s="105" t="s">
        <v>1</v>
      </c>
    </row>
    <row r="474" spans="1:4" ht="22.5" customHeight="1">
      <c r="A474" s="105">
        <v>473</v>
      </c>
      <c r="B474" s="105" t="s">
        <v>1404</v>
      </c>
      <c r="C474" s="105" t="s">
        <v>1405</v>
      </c>
      <c r="D474" s="105" t="s">
        <v>1</v>
      </c>
    </row>
    <row r="475" spans="1:4" ht="60" customHeight="1">
      <c r="A475" s="105">
        <v>474</v>
      </c>
      <c r="B475" s="105" t="s">
        <v>1406</v>
      </c>
      <c r="C475" s="105" t="s">
        <v>1407</v>
      </c>
      <c r="D475" s="105" t="s">
        <v>1</v>
      </c>
    </row>
    <row r="476" spans="1:4" ht="22.5" customHeight="1">
      <c r="A476" s="105">
        <v>475</v>
      </c>
      <c r="B476" s="105" t="s">
        <v>1408</v>
      </c>
      <c r="C476" s="105" t="s">
        <v>1409</v>
      </c>
      <c r="D476" s="105" t="s">
        <v>1</v>
      </c>
    </row>
    <row r="477" spans="1:4" ht="22.5" customHeight="1">
      <c r="A477" s="105">
        <v>476</v>
      </c>
      <c r="B477" s="105" t="s">
        <v>1410</v>
      </c>
      <c r="C477" s="105" t="s">
        <v>1411</v>
      </c>
      <c r="D477" s="105" t="s">
        <v>1</v>
      </c>
    </row>
    <row r="478" spans="1:4" ht="22.5" customHeight="1">
      <c r="A478" s="105">
        <v>477</v>
      </c>
      <c r="B478" s="105" t="s">
        <v>1412</v>
      </c>
      <c r="C478" s="105" t="s">
        <v>1413</v>
      </c>
      <c r="D478" s="105" t="s">
        <v>1</v>
      </c>
    </row>
    <row r="479" spans="1:4" ht="22.5" customHeight="1">
      <c r="A479" s="105">
        <v>478</v>
      </c>
      <c r="B479" s="105" t="s">
        <v>545</v>
      </c>
      <c r="C479" s="105" t="s">
        <v>1414</v>
      </c>
      <c r="D479" s="105" t="s">
        <v>1</v>
      </c>
    </row>
    <row r="480" spans="1:4" ht="22.5" customHeight="1">
      <c r="A480" s="105">
        <v>479</v>
      </c>
      <c r="B480" s="109" t="s">
        <v>1415</v>
      </c>
      <c r="C480" s="109" t="s">
        <v>1416</v>
      </c>
      <c r="D480" s="105" t="s">
        <v>1</v>
      </c>
    </row>
    <row r="481" spans="1:4" ht="22.5" customHeight="1">
      <c r="A481" s="105">
        <v>480</v>
      </c>
      <c r="B481" s="105" t="s">
        <v>1417</v>
      </c>
      <c r="C481" s="105" t="s">
        <v>1418</v>
      </c>
      <c r="D481" s="105" t="s">
        <v>1</v>
      </c>
    </row>
    <row r="482" spans="1:4" ht="22.5" customHeight="1">
      <c r="A482" s="105">
        <v>481</v>
      </c>
      <c r="B482" s="105" t="s">
        <v>1419</v>
      </c>
      <c r="C482" s="105" t="s">
        <v>1420</v>
      </c>
      <c r="D482" s="105" t="s">
        <v>1</v>
      </c>
    </row>
    <row r="483" spans="1:4" ht="22.5" customHeight="1">
      <c r="A483" s="105">
        <v>482</v>
      </c>
      <c r="B483" s="105" t="s">
        <v>1421</v>
      </c>
      <c r="C483" s="105" t="s">
        <v>1422</v>
      </c>
      <c r="D483" s="105" t="s">
        <v>1</v>
      </c>
    </row>
    <row r="484" spans="1:4" ht="22.5" customHeight="1">
      <c r="A484" s="105">
        <v>483</v>
      </c>
      <c r="B484" s="105" t="s">
        <v>1423</v>
      </c>
      <c r="C484" s="105" t="s">
        <v>1424</v>
      </c>
      <c r="D484" s="105" t="s">
        <v>1</v>
      </c>
    </row>
    <row r="485" spans="1:4" ht="22.5" customHeight="1">
      <c r="A485" s="105">
        <v>484</v>
      </c>
      <c r="B485" s="105" t="s">
        <v>1425</v>
      </c>
      <c r="C485" s="105" t="s">
        <v>1426</v>
      </c>
      <c r="D485" s="105" t="s">
        <v>1</v>
      </c>
    </row>
    <row r="486" spans="1:4" ht="22.5" customHeight="1">
      <c r="A486" s="105">
        <v>485</v>
      </c>
      <c r="B486" s="105" t="s">
        <v>1427</v>
      </c>
      <c r="C486" s="105" t="s">
        <v>1428</v>
      </c>
      <c r="D486" s="105" t="s">
        <v>1</v>
      </c>
    </row>
    <row r="487" spans="1:4" ht="22.5" customHeight="1">
      <c r="A487" s="105">
        <v>486</v>
      </c>
      <c r="B487" s="105" t="s">
        <v>1429</v>
      </c>
      <c r="C487" s="105" t="s">
        <v>1430</v>
      </c>
      <c r="D487" s="105" t="s">
        <v>1</v>
      </c>
    </row>
    <row r="488" spans="1:4" ht="22.5" customHeight="1">
      <c r="A488" s="105">
        <v>487</v>
      </c>
      <c r="B488" s="105" t="s">
        <v>1431</v>
      </c>
      <c r="C488" s="105" t="s">
        <v>1432</v>
      </c>
      <c r="D488" s="105" t="s">
        <v>1</v>
      </c>
    </row>
    <row r="489" spans="1:4" ht="22.5" customHeight="1">
      <c r="A489" s="105">
        <v>488</v>
      </c>
      <c r="B489" s="105" t="s">
        <v>1433</v>
      </c>
      <c r="C489" s="105" t="s">
        <v>1434</v>
      </c>
      <c r="D489" s="105" t="s">
        <v>1</v>
      </c>
    </row>
    <row r="490" spans="1:4" ht="22.5" customHeight="1">
      <c r="A490" s="105">
        <v>489</v>
      </c>
      <c r="B490" s="105" t="s">
        <v>1435</v>
      </c>
      <c r="C490" s="105" t="s">
        <v>1436</v>
      </c>
      <c r="D490" s="105" t="s">
        <v>1</v>
      </c>
    </row>
    <row r="491" spans="1:4" ht="22.5" customHeight="1">
      <c r="A491" s="105">
        <v>490</v>
      </c>
      <c r="B491" s="105" t="s">
        <v>1437</v>
      </c>
      <c r="C491" s="105" t="s">
        <v>1438</v>
      </c>
      <c r="D491" s="105" t="s">
        <v>1</v>
      </c>
    </row>
    <row r="492" spans="1:4" ht="22.5" customHeight="1">
      <c r="A492" s="105">
        <v>491</v>
      </c>
      <c r="B492" s="105" t="s">
        <v>1439</v>
      </c>
      <c r="C492" s="105" t="s">
        <v>1440</v>
      </c>
      <c r="D492" s="105" t="s">
        <v>1</v>
      </c>
    </row>
    <row r="493" spans="1:4" ht="22.5" customHeight="1">
      <c r="A493" s="105">
        <v>492</v>
      </c>
      <c r="B493" s="105" t="s">
        <v>1441</v>
      </c>
      <c r="C493" s="105" t="s">
        <v>1442</v>
      </c>
      <c r="D493" s="105" t="s">
        <v>1</v>
      </c>
    </row>
    <row r="494" spans="1:4" ht="22.5" customHeight="1">
      <c r="A494" s="105">
        <v>493</v>
      </c>
      <c r="B494" s="105" t="s">
        <v>1443</v>
      </c>
      <c r="C494" s="105" t="s">
        <v>1444</v>
      </c>
      <c r="D494" s="105" t="s">
        <v>1</v>
      </c>
    </row>
    <row r="495" spans="1:4" ht="22.5" customHeight="1">
      <c r="A495" s="105">
        <v>494</v>
      </c>
      <c r="B495" s="105" t="s">
        <v>1445</v>
      </c>
      <c r="C495" s="105" t="s">
        <v>1446</v>
      </c>
      <c r="D495" s="105" t="s">
        <v>1</v>
      </c>
    </row>
    <row r="496" spans="1:4" ht="22.5" customHeight="1">
      <c r="A496" s="105">
        <v>495</v>
      </c>
      <c r="B496" s="105" t="s">
        <v>1447</v>
      </c>
      <c r="C496" s="105" t="s">
        <v>4056</v>
      </c>
      <c r="D496" s="105" t="s">
        <v>1</v>
      </c>
    </row>
    <row r="497" spans="1:4" ht="22.5" customHeight="1">
      <c r="A497" s="105">
        <v>496</v>
      </c>
      <c r="B497" s="105" t="s">
        <v>1448</v>
      </c>
      <c r="C497" s="105" t="s">
        <v>1449</v>
      </c>
      <c r="D497" s="105" t="s">
        <v>1</v>
      </c>
    </row>
    <row r="498" spans="1:4" ht="22.5" customHeight="1">
      <c r="A498" s="105">
        <v>497</v>
      </c>
      <c r="B498" s="105" t="s">
        <v>1450</v>
      </c>
      <c r="C498" s="105" t="s">
        <v>1451</v>
      </c>
      <c r="D498" s="105" t="s">
        <v>1</v>
      </c>
    </row>
    <row r="499" spans="1:4" ht="22.5" customHeight="1">
      <c r="A499" s="105">
        <v>498</v>
      </c>
      <c r="B499" s="105" t="s">
        <v>1452</v>
      </c>
      <c r="C499" s="105" t="s">
        <v>1453</v>
      </c>
      <c r="D499" s="105" t="s">
        <v>1</v>
      </c>
    </row>
    <row r="500" spans="1:4" ht="22.5" customHeight="1">
      <c r="A500" s="105">
        <v>499</v>
      </c>
      <c r="B500" s="105" t="s">
        <v>1454</v>
      </c>
      <c r="C500" s="105" t="s">
        <v>1455</v>
      </c>
      <c r="D500" s="105" t="s">
        <v>1</v>
      </c>
    </row>
    <row r="501" spans="1:4" ht="22.5" customHeight="1">
      <c r="A501" s="105">
        <v>500</v>
      </c>
      <c r="B501" s="105" t="s">
        <v>1456</v>
      </c>
      <c r="C501" s="105" t="s">
        <v>1457</v>
      </c>
      <c r="D501" s="105" t="s">
        <v>1</v>
      </c>
    </row>
    <row r="502" spans="1:4" ht="22.5" customHeight="1">
      <c r="A502" s="105">
        <v>501</v>
      </c>
      <c r="B502" s="105" t="s">
        <v>1458</v>
      </c>
      <c r="C502" s="105" t="s">
        <v>1459</v>
      </c>
      <c r="D502" s="105" t="s">
        <v>1</v>
      </c>
    </row>
    <row r="503" spans="1:4" ht="22.5" customHeight="1">
      <c r="A503" s="105">
        <v>502</v>
      </c>
      <c r="B503" s="105" t="s">
        <v>1460</v>
      </c>
      <c r="C503" s="105" t="s">
        <v>1461</v>
      </c>
      <c r="D503" s="105" t="s">
        <v>1</v>
      </c>
    </row>
    <row r="504" spans="1:4" ht="22.5" customHeight="1">
      <c r="A504" s="105">
        <v>503</v>
      </c>
      <c r="B504" s="105" t="s">
        <v>1462</v>
      </c>
      <c r="C504" s="105" t="s">
        <v>1463</v>
      </c>
      <c r="D504" s="105" t="s">
        <v>1</v>
      </c>
    </row>
    <row r="505" spans="1:4" ht="22.5" customHeight="1">
      <c r="A505" s="105">
        <v>504</v>
      </c>
      <c r="B505" s="105" t="s">
        <v>1464</v>
      </c>
      <c r="C505" s="105" t="s">
        <v>4057</v>
      </c>
      <c r="D505" s="105" t="s">
        <v>1</v>
      </c>
    </row>
    <row r="506" spans="1:4" ht="22.5" customHeight="1">
      <c r="A506" s="105">
        <v>505</v>
      </c>
      <c r="B506" s="105" t="s">
        <v>1465</v>
      </c>
      <c r="C506" s="105" t="s">
        <v>1466</v>
      </c>
      <c r="D506" s="105" t="s">
        <v>1</v>
      </c>
    </row>
    <row r="507" spans="1:4" ht="22.5" customHeight="1">
      <c r="A507" s="105">
        <v>506</v>
      </c>
      <c r="B507" s="105" t="s">
        <v>1467</v>
      </c>
      <c r="C507" s="105" t="s">
        <v>1468</v>
      </c>
      <c r="D507" s="105" t="s">
        <v>1</v>
      </c>
    </row>
    <row r="508" spans="1:4" ht="22.5" customHeight="1">
      <c r="A508" s="105">
        <v>507</v>
      </c>
      <c r="B508" s="105" t="s">
        <v>1469</v>
      </c>
      <c r="C508" s="105" t="s">
        <v>1470</v>
      </c>
      <c r="D508" s="105" t="s">
        <v>1</v>
      </c>
    </row>
    <row r="509" spans="1:4" ht="22.5" customHeight="1">
      <c r="A509" s="105">
        <v>508</v>
      </c>
      <c r="B509" s="105" t="s">
        <v>1471</v>
      </c>
      <c r="C509" s="105" t="s">
        <v>1472</v>
      </c>
      <c r="D509" s="105" t="s">
        <v>1</v>
      </c>
    </row>
    <row r="510" spans="1:4" ht="22.5" customHeight="1">
      <c r="A510" s="105">
        <v>509</v>
      </c>
      <c r="B510" s="105" t="s">
        <v>1473</v>
      </c>
      <c r="C510" s="105" t="s">
        <v>1474</v>
      </c>
      <c r="D510" s="105" t="s">
        <v>1</v>
      </c>
    </row>
    <row r="511" spans="1:4" ht="22.5" customHeight="1">
      <c r="A511" s="105">
        <v>510</v>
      </c>
      <c r="B511" s="105" t="s">
        <v>1475</v>
      </c>
      <c r="C511" s="105" t="s">
        <v>1476</v>
      </c>
      <c r="D511" s="105" t="s">
        <v>1</v>
      </c>
    </row>
    <row r="512" spans="1:4" ht="22.5" customHeight="1">
      <c r="A512" s="105">
        <v>511</v>
      </c>
      <c r="B512" s="105" t="s">
        <v>1477</v>
      </c>
      <c r="C512" s="105" t="s">
        <v>1478</v>
      </c>
      <c r="D512" s="105" t="s">
        <v>6</v>
      </c>
    </row>
    <row r="513" spans="1:4" ht="22.5" customHeight="1">
      <c r="A513" s="105">
        <v>512</v>
      </c>
      <c r="B513" s="105" t="s">
        <v>1479</v>
      </c>
      <c r="C513" s="105" t="s">
        <v>1478</v>
      </c>
      <c r="D513" s="105" t="s">
        <v>6</v>
      </c>
    </row>
    <row r="514" spans="1:4" ht="22.5" customHeight="1">
      <c r="A514" s="105">
        <v>513</v>
      </c>
      <c r="B514" s="105" t="s">
        <v>1480</v>
      </c>
      <c r="C514" s="105" t="s">
        <v>1481</v>
      </c>
      <c r="D514" s="105" t="s">
        <v>6</v>
      </c>
    </row>
    <row r="515" spans="1:4" ht="22.5" customHeight="1">
      <c r="A515" s="105">
        <v>514</v>
      </c>
      <c r="B515" s="105" t="s">
        <v>1482</v>
      </c>
      <c r="C515" s="105" t="s">
        <v>1483</v>
      </c>
      <c r="D515" s="105" t="s">
        <v>6</v>
      </c>
    </row>
    <row r="516" spans="1:4" ht="22.5" customHeight="1">
      <c r="A516" s="105">
        <v>515</v>
      </c>
      <c r="B516" s="105" t="s">
        <v>1484</v>
      </c>
      <c r="C516" s="105" t="s">
        <v>1485</v>
      </c>
      <c r="D516" s="105" t="s">
        <v>6</v>
      </c>
    </row>
    <row r="517" spans="1:4" ht="22.5" customHeight="1">
      <c r="A517" s="105">
        <v>516</v>
      </c>
      <c r="B517" s="105" t="s">
        <v>1486</v>
      </c>
      <c r="C517" s="105" t="s">
        <v>1487</v>
      </c>
      <c r="D517" s="105" t="s">
        <v>6</v>
      </c>
    </row>
    <row r="518" spans="1:4" ht="22.5" customHeight="1">
      <c r="A518" s="105">
        <v>517</v>
      </c>
      <c r="B518" s="105" t="s">
        <v>1488</v>
      </c>
      <c r="C518" s="105" t="s">
        <v>1489</v>
      </c>
      <c r="D518" s="105" t="s">
        <v>6</v>
      </c>
    </row>
    <row r="519" spans="1:4" ht="22.5" customHeight="1">
      <c r="A519" s="105">
        <v>518</v>
      </c>
      <c r="B519" s="105" t="s">
        <v>1490</v>
      </c>
      <c r="C519" s="105" t="s">
        <v>1491</v>
      </c>
      <c r="D519" s="105" t="s">
        <v>6</v>
      </c>
    </row>
    <row r="520" spans="1:4" ht="22.5" customHeight="1">
      <c r="A520" s="105">
        <v>519</v>
      </c>
      <c r="B520" s="105" t="s">
        <v>1492</v>
      </c>
      <c r="C520" s="105" t="s">
        <v>1493</v>
      </c>
      <c r="D520" s="105" t="s">
        <v>6</v>
      </c>
    </row>
    <row r="521" spans="1:4" ht="22.5" customHeight="1">
      <c r="A521" s="105">
        <v>520</v>
      </c>
      <c r="B521" s="105" t="s">
        <v>1344</v>
      </c>
      <c r="C521" s="105" t="s">
        <v>1345</v>
      </c>
      <c r="D521" s="105" t="s">
        <v>6</v>
      </c>
    </row>
    <row r="522" spans="1:4" ht="22.5" customHeight="1">
      <c r="A522" s="105">
        <v>521</v>
      </c>
      <c r="B522" s="105" t="s">
        <v>1348</v>
      </c>
      <c r="C522" s="105" t="s">
        <v>1349</v>
      </c>
      <c r="D522" s="105" t="s">
        <v>6</v>
      </c>
    </row>
    <row r="523" spans="1:4" ht="22.5" customHeight="1">
      <c r="A523" s="105">
        <v>522</v>
      </c>
      <c r="B523" s="105" t="s">
        <v>1494</v>
      </c>
      <c r="C523" s="105" t="s">
        <v>1495</v>
      </c>
      <c r="D523" s="105" t="s">
        <v>6</v>
      </c>
    </row>
    <row r="524" spans="1:4" ht="22.5" customHeight="1">
      <c r="A524" s="105">
        <v>523</v>
      </c>
      <c r="B524" s="105" t="s">
        <v>1496</v>
      </c>
      <c r="C524" s="105" t="s">
        <v>1497</v>
      </c>
      <c r="D524" s="105" t="s">
        <v>6</v>
      </c>
    </row>
    <row r="525" spans="1:4" ht="22.5" customHeight="1">
      <c r="A525" s="105">
        <v>524</v>
      </c>
      <c r="B525" s="105" t="s">
        <v>1498</v>
      </c>
      <c r="C525" s="105" t="s">
        <v>1499</v>
      </c>
      <c r="D525" s="105" t="s">
        <v>6</v>
      </c>
    </row>
    <row r="526" spans="1:4" ht="22.5" customHeight="1">
      <c r="A526" s="105">
        <v>525</v>
      </c>
      <c r="B526" s="105" t="s">
        <v>1500</v>
      </c>
      <c r="C526" s="105" t="s">
        <v>1501</v>
      </c>
      <c r="D526" s="105" t="s">
        <v>6</v>
      </c>
    </row>
    <row r="527" spans="1:4" ht="22.5" customHeight="1">
      <c r="A527" s="105">
        <v>526</v>
      </c>
      <c r="B527" s="105" t="s">
        <v>1502</v>
      </c>
      <c r="C527" s="105" t="s">
        <v>1503</v>
      </c>
      <c r="D527" s="105" t="s">
        <v>6</v>
      </c>
    </row>
    <row r="528" spans="1:4" ht="22.5" customHeight="1">
      <c r="A528" s="105">
        <v>527</v>
      </c>
      <c r="B528" s="105" t="s">
        <v>1504</v>
      </c>
      <c r="C528" s="105" t="s">
        <v>1505</v>
      </c>
      <c r="D528" s="105" t="s">
        <v>6</v>
      </c>
    </row>
    <row r="529" spans="1:4" ht="22.5" customHeight="1">
      <c r="A529" s="105">
        <v>528</v>
      </c>
      <c r="B529" s="105" t="s">
        <v>1506</v>
      </c>
      <c r="C529" s="105" t="s">
        <v>1507</v>
      </c>
      <c r="D529" s="105" t="s">
        <v>6</v>
      </c>
    </row>
    <row r="530" spans="1:4" ht="22.5" customHeight="1">
      <c r="A530" s="105">
        <v>529</v>
      </c>
      <c r="B530" s="105" t="s">
        <v>1508</v>
      </c>
      <c r="C530" s="105" t="s">
        <v>1509</v>
      </c>
      <c r="D530" s="105" t="s">
        <v>6</v>
      </c>
    </row>
    <row r="531" spans="1:4" ht="22.5" customHeight="1">
      <c r="A531" s="105">
        <v>530</v>
      </c>
      <c r="B531" s="105" t="s">
        <v>1510</v>
      </c>
      <c r="C531" s="105" t="s">
        <v>1511</v>
      </c>
      <c r="D531" s="105" t="s">
        <v>6</v>
      </c>
    </row>
    <row r="532" spans="1:4" ht="22.5" customHeight="1">
      <c r="A532" s="105">
        <v>531</v>
      </c>
      <c r="B532" s="105" t="s">
        <v>1512</v>
      </c>
      <c r="C532" s="105" t="s">
        <v>1513</v>
      </c>
      <c r="D532" s="105" t="s">
        <v>6</v>
      </c>
    </row>
    <row r="533" spans="1:4" ht="22.5" customHeight="1">
      <c r="A533" s="105">
        <v>532</v>
      </c>
      <c r="B533" s="105" t="s">
        <v>1514</v>
      </c>
      <c r="C533" s="105" t="s">
        <v>1515</v>
      </c>
      <c r="D533" s="105" t="s">
        <v>6</v>
      </c>
    </row>
    <row r="534" spans="1:4" ht="22.5" customHeight="1">
      <c r="A534" s="105">
        <v>533</v>
      </c>
      <c r="B534" s="105" t="s">
        <v>1516</v>
      </c>
      <c r="C534" s="105" t="s">
        <v>1517</v>
      </c>
      <c r="D534" s="105" t="s">
        <v>6</v>
      </c>
    </row>
    <row r="535" spans="1:4" ht="22.5" customHeight="1">
      <c r="A535" s="105">
        <v>534</v>
      </c>
      <c r="B535" s="105" t="s">
        <v>1518</v>
      </c>
      <c r="C535" s="105" t="s">
        <v>1519</v>
      </c>
      <c r="D535" s="105" t="s">
        <v>18</v>
      </c>
    </row>
    <row r="536" spans="1:4" ht="22.5" customHeight="1">
      <c r="A536" s="105">
        <v>535</v>
      </c>
      <c r="B536" s="105" t="s">
        <v>1520</v>
      </c>
      <c r="C536" s="105" t="s">
        <v>1521</v>
      </c>
      <c r="D536" s="105" t="s">
        <v>18</v>
      </c>
    </row>
    <row r="537" spans="1:4" ht="22.5" customHeight="1">
      <c r="A537" s="105">
        <v>536</v>
      </c>
      <c r="B537" s="105" t="s">
        <v>1522</v>
      </c>
      <c r="C537" s="105" t="s">
        <v>1523</v>
      </c>
      <c r="D537" s="105" t="s">
        <v>18</v>
      </c>
    </row>
    <row r="538" spans="1:4" ht="22.5" customHeight="1">
      <c r="A538" s="105">
        <v>537</v>
      </c>
      <c r="B538" s="105" t="s">
        <v>1524</v>
      </c>
      <c r="C538" s="105" t="s">
        <v>1525</v>
      </c>
      <c r="D538" s="105" t="s">
        <v>18</v>
      </c>
    </row>
    <row r="539" spans="1:4" ht="22.5" customHeight="1">
      <c r="A539" s="105">
        <v>538</v>
      </c>
      <c r="B539" s="105" t="s">
        <v>1526</v>
      </c>
      <c r="C539" s="105" t="s">
        <v>1527</v>
      </c>
      <c r="D539" s="105" t="s">
        <v>18</v>
      </c>
    </row>
    <row r="540" spans="1:4" ht="22.5" customHeight="1">
      <c r="A540" s="105">
        <v>539</v>
      </c>
      <c r="B540" s="105" t="s">
        <v>1528</v>
      </c>
      <c r="C540" s="105" t="s">
        <v>1529</v>
      </c>
      <c r="D540" s="105" t="s">
        <v>18</v>
      </c>
    </row>
    <row r="541" spans="1:4" ht="22.5" customHeight="1">
      <c r="A541" s="105">
        <v>540</v>
      </c>
      <c r="B541" s="105" t="s">
        <v>4058</v>
      </c>
      <c r="C541" s="105" t="s">
        <v>1530</v>
      </c>
      <c r="D541" s="105" t="s">
        <v>18</v>
      </c>
    </row>
    <row r="542" spans="1:4" ht="22.5" customHeight="1">
      <c r="A542" s="105">
        <v>541</v>
      </c>
      <c r="B542" s="105" t="s">
        <v>1531</v>
      </c>
      <c r="C542" s="105" t="s">
        <v>1532</v>
      </c>
      <c r="D542" s="105" t="s">
        <v>18</v>
      </c>
    </row>
    <row r="543" spans="1:4" ht="22.5" customHeight="1">
      <c r="A543" s="105">
        <v>542</v>
      </c>
      <c r="B543" s="105" t="s">
        <v>1533</v>
      </c>
      <c r="C543" s="105" t="s">
        <v>1534</v>
      </c>
      <c r="D543" s="105" t="s">
        <v>18</v>
      </c>
    </row>
    <row r="544" spans="1:4" ht="22.5" customHeight="1">
      <c r="A544" s="105">
        <v>543</v>
      </c>
      <c r="B544" s="105" t="s">
        <v>1535</v>
      </c>
      <c r="C544" s="105" t="s">
        <v>1536</v>
      </c>
      <c r="D544" s="105" t="s">
        <v>18</v>
      </c>
    </row>
    <row r="545" spans="1:4" ht="22.5" customHeight="1">
      <c r="A545" s="105">
        <v>544</v>
      </c>
      <c r="B545" s="105" t="s">
        <v>1537</v>
      </c>
      <c r="C545" s="105" t="s">
        <v>1538</v>
      </c>
      <c r="D545" s="105" t="s">
        <v>18</v>
      </c>
    </row>
    <row r="546" spans="1:4" ht="22.5" customHeight="1">
      <c r="A546" s="105">
        <v>545</v>
      </c>
      <c r="B546" s="105" t="s">
        <v>1539</v>
      </c>
      <c r="C546" s="105" t="s">
        <v>1540</v>
      </c>
      <c r="D546" s="105" t="s">
        <v>18</v>
      </c>
    </row>
    <row r="547" spans="1:4" ht="22.5" customHeight="1">
      <c r="A547" s="105">
        <v>546</v>
      </c>
      <c r="B547" s="105" t="s">
        <v>1541</v>
      </c>
      <c r="C547" s="105" t="s">
        <v>1542</v>
      </c>
      <c r="D547" s="105" t="s">
        <v>18</v>
      </c>
    </row>
    <row r="548" spans="1:4" ht="22.5" customHeight="1">
      <c r="A548" s="105">
        <v>547</v>
      </c>
      <c r="B548" s="105" t="s">
        <v>1543</v>
      </c>
      <c r="C548" s="105" t="s">
        <v>1544</v>
      </c>
      <c r="D548" s="105" t="s">
        <v>18</v>
      </c>
    </row>
    <row r="549" spans="1:4" ht="22.5" customHeight="1">
      <c r="A549" s="105">
        <v>548</v>
      </c>
      <c r="B549" s="105" t="s">
        <v>1545</v>
      </c>
      <c r="C549" s="105" t="s">
        <v>1546</v>
      </c>
      <c r="D549" s="105" t="s">
        <v>18</v>
      </c>
    </row>
    <row r="550" spans="1:4" ht="22.5" customHeight="1">
      <c r="A550" s="105">
        <v>549</v>
      </c>
      <c r="B550" s="105" t="s">
        <v>1547</v>
      </c>
      <c r="C550" s="105" t="s">
        <v>1548</v>
      </c>
      <c r="D550" s="105" t="s">
        <v>18</v>
      </c>
    </row>
    <row r="551" spans="1:4" ht="22.5" customHeight="1">
      <c r="A551" s="105">
        <v>550</v>
      </c>
      <c r="B551" s="105" t="s">
        <v>1549</v>
      </c>
      <c r="C551" s="105" t="s">
        <v>1550</v>
      </c>
      <c r="D551" s="105" t="s">
        <v>18</v>
      </c>
    </row>
    <row r="552" spans="1:4" ht="22.5" customHeight="1">
      <c r="A552" s="105">
        <v>551</v>
      </c>
      <c r="B552" s="105" t="s">
        <v>1551</v>
      </c>
      <c r="C552" s="105" t="s">
        <v>1552</v>
      </c>
      <c r="D552" s="105" t="s">
        <v>18</v>
      </c>
    </row>
    <row r="553" spans="1:4" ht="22.5" customHeight="1">
      <c r="A553" s="105">
        <v>552</v>
      </c>
      <c r="B553" s="105" t="s">
        <v>1553</v>
      </c>
      <c r="C553" s="105" t="s">
        <v>1554</v>
      </c>
      <c r="D553" s="105" t="s">
        <v>18</v>
      </c>
    </row>
    <row r="554" spans="1:4" ht="22.5" customHeight="1">
      <c r="A554" s="105">
        <v>553</v>
      </c>
      <c r="B554" s="105" t="s">
        <v>1555</v>
      </c>
      <c r="C554" s="105" t="s">
        <v>1556</v>
      </c>
      <c r="D554" s="105" t="s">
        <v>18</v>
      </c>
    </row>
    <row r="555" spans="1:4" ht="22.5" customHeight="1">
      <c r="A555" s="105">
        <v>554</v>
      </c>
      <c r="B555" s="105" t="s">
        <v>1557</v>
      </c>
      <c r="C555" s="105" t="s">
        <v>1558</v>
      </c>
      <c r="D555" s="105" t="s">
        <v>18</v>
      </c>
    </row>
    <row r="556" spans="1:4" ht="22.5" customHeight="1">
      <c r="A556" s="105">
        <v>555</v>
      </c>
      <c r="B556" s="105" t="s">
        <v>1559</v>
      </c>
      <c r="C556" s="105" t="s">
        <v>1560</v>
      </c>
      <c r="D556" s="105" t="s">
        <v>18</v>
      </c>
    </row>
    <row r="557" spans="1:4" ht="22.5" customHeight="1">
      <c r="A557" s="105">
        <v>556</v>
      </c>
      <c r="B557" s="105" t="s">
        <v>1561</v>
      </c>
      <c r="C557" s="105" t="s">
        <v>1562</v>
      </c>
      <c r="D557" s="105" t="s">
        <v>18</v>
      </c>
    </row>
    <row r="558" spans="1:4" ht="22.5" customHeight="1">
      <c r="A558" s="105">
        <v>557</v>
      </c>
      <c r="B558" s="105" t="s">
        <v>1563</v>
      </c>
      <c r="C558" s="105" t="s">
        <v>1564</v>
      </c>
      <c r="D558" s="105" t="s">
        <v>18</v>
      </c>
    </row>
    <row r="559" spans="1:4" ht="22.5" customHeight="1">
      <c r="A559" s="105">
        <v>558</v>
      </c>
      <c r="B559" s="105" t="s">
        <v>1565</v>
      </c>
      <c r="C559" s="105" t="s">
        <v>1566</v>
      </c>
      <c r="D559" s="105" t="s">
        <v>18</v>
      </c>
    </row>
    <row r="560" spans="1:4" ht="22.5" customHeight="1">
      <c r="A560" s="105">
        <v>559</v>
      </c>
      <c r="B560" s="105" t="s">
        <v>1567</v>
      </c>
      <c r="C560" s="105" t="s">
        <v>1568</v>
      </c>
      <c r="D560" s="105" t="s">
        <v>18</v>
      </c>
    </row>
    <row r="561" spans="1:4" ht="22.5" customHeight="1">
      <c r="A561" s="105">
        <v>560</v>
      </c>
      <c r="B561" s="105" t="s">
        <v>1569</v>
      </c>
      <c r="C561" s="105" t="s">
        <v>1570</v>
      </c>
      <c r="D561" s="105" t="s">
        <v>18</v>
      </c>
    </row>
    <row r="562" spans="1:4" ht="22.5" customHeight="1">
      <c r="A562" s="105">
        <v>561</v>
      </c>
      <c r="B562" s="105" t="s">
        <v>1571</v>
      </c>
      <c r="C562" s="105" t="s">
        <v>1572</v>
      </c>
      <c r="D562" s="105" t="s">
        <v>18</v>
      </c>
    </row>
    <row r="563" spans="1:4" ht="22.5" customHeight="1">
      <c r="A563" s="105">
        <v>562</v>
      </c>
      <c r="B563" s="105" t="s">
        <v>1573</v>
      </c>
      <c r="C563" s="105" t="s">
        <v>1574</v>
      </c>
      <c r="D563" s="105" t="s">
        <v>18</v>
      </c>
    </row>
    <row r="564" spans="1:4" ht="22.5" customHeight="1">
      <c r="A564" s="105">
        <v>563</v>
      </c>
      <c r="B564" s="105" t="s">
        <v>1575</v>
      </c>
      <c r="C564" s="105" t="s">
        <v>1576</v>
      </c>
      <c r="D564" s="105" t="s">
        <v>18</v>
      </c>
    </row>
    <row r="565" spans="1:4" ht="22.5" customHeight="1">
      <c r="A565" s="105">
        <v>564</v>
      </c>
      <c r="B565" s="105" t="s">
        <v>1577</v>
      </c>
      <c r="C565" s="105" t="s">
        <v>1578</v>
      </c>
      <c r="D565" s="105" t="s">
        <v>18</v>
      </c>
    </row>
    <row r="566" spans="1:4" ht="22.5" customHeight="1">
      <c r="A566" s="105">
        <v>565</v>
      </c>
      <c r="B566" s="105" t="s">
        <v>1579</v>
      </c>
      <c r="C566" s="105" t="s">
        <v>1580</v>
      </c>
      <c r="D566" s="105" t="s">
        <v>18</v>
      </c>
    </row>
    <row r="567" spans="1:4" ht="22.5" customHeight="1">
      <c r="A567" s="105">
        <v>566</v>
      </c>
      <c r="B567" s="105" t="s">
        <v>1581</v>
      </c>
      <c r="C567" s="105" t="s">
        <v>1582</v>
      </c>
      <c r="D567" s="105" t="s">
        <v>18</v>
      </c>
    </row>
    <row r="568" spans="1:4" ht="22.5" customHeight="1">
      <c r="A568" s="105">
        <v>567</v>
      </c>
      <c r="B568" s="105" t="s">
        <v>1583</v>
      </c>
      <c r="C568" s="105" t="s">
        <v>1584</v>
      </c>
      <c r="D568" s="105" t="s">
        <v>18</v>
      </c>
    </row>
    <row r="569" spans="1:4" ht="22.5" customHeight="1">
      <c r="A569" s="105">
        <v>568</v>
      </c>
      <c r="B569" s="105" t="s">
        <v>1585</v>
      </c>
      <c r="C569" s="105" t="s">
        <v>1586</v>
      </c>
      <c r="D569" s="105" t="s">
        <v>18</v>
      </c>
    </row>
    <row r="570" spans="1:4" ht="22.5" customHeight="1">
      <c r="A570" s="105">
        <v>569</v>
      </c>
      <c r="B570" s="105" t="s">
        <v>1587</v>
      </c>
      <c r="C570" s="105" t="s">
        <v>1588</v>
      </c>
      <c r="D570" s="105" t="s">
        <v>18</v>
      </c>
    </row>
    <row r="571" spans="1:4" ht="22.5" customHeight="1">
      <c r="A571" s="105">
        <v>570</v>
      </c>
      <c r="B571" s="105" t="s">
        <v>1589</v>
      </c>
      <c r="C571" s="105" t="s">
        <v>1590</v>
      </c>
      <c r="D571" s="105" t="s">
        <v>18</v>
      </c>
    </row>
    <row r="572" spans="1:4" ht="22.5" customHeight="1">
      <c r="A572" s="105">
        <v>571</v>
      </c>
      <c r="B572" s="105" t="s">
        <v>1591</v>
      </c>
      <c r="C572" s="105" t="s">
        <v>1592</v>
      </c>
      <c r="D572" s="105" t="s">
        <v>18</v>
      </c>
    </row>
    <row r="573" spans="1:4" ht="22.5" customHeight="1">
      <c r="A573" s="105">
        <v>572</v>
      </c>
      <c r="B573" s="105" t="s">
        <v>1593</v>
      </c>
      <c r="C573" s="105" t="s">
        <v>1594</v>
      </c>
      <c r="D573" s="105" t="s">
        <v>18</v>
      </c>
    </row>
    <row r="574" spans="1:4" ht="22.5" customHeight="1">
      <c r="A574" s="105">
        <v>573</v>
      </c>
      <c r="B574" s="105" t="s">
        <v>1595</v>
      </c>
      <c r="C574" s="105" t="s">
        <v>1596</v>
      </c>
      <c r="D574" s="105" t="s">
        <v>18</v>
      </c>
    </row>
    <row r="575" spans="1:4" ht="22.5" customHeight="1">
      <c r="A575" s="105">
        <v>574</v>
      </c>
      <c r="B575" s="105" t="s">
        <v>1597</v>
      </c>
      <c r="C575" s="105" t="s">
        <v>1598</v>
      </c>
      <c r="D575" s="105" t="s">
        <v>18</v>
      </c>
    </row>
    <row r="576" spans="1:4" ht="22.5" customHeight="1">
      <c r="A576" s="105">
        <v>575</v>
      </c>
      <c r="B576" s="105" t="s">
        <v>1599</v>
      </c>
      <c r="C576" s="105" t="s">
        <v>1600</v>
      </c>
      <c r="D576" s="105" t="s">
        <v>18</v>
      </c>
    </row>
    <row r="577" spans="1:4" ht="22.5" customHeight="1">
      <c r="A577" s="105">
        <v>576</v>
      </c>
      <c r="B577" s="105" t="s">
        <v>1601</v>
      </c>
      <c r="C577" s="105" t="s">
        <v>1602</v>
      </c>
      <c r="D577" s="105" t="s">
        <v>18</v>
      </c>
    </row>
    <row r="578" spans="1:4" ht="22.5" customHeight="1">
      <c r="A578" s="105">
        <v>577</v>
      </c>
      <c r="B578" s="105" t="s">
        <v>1603</v>
      </c>
      <c r="C578" s="105" t="s">
        <v>1604</v>
      </c>
      <c r="D578" s="105" t="s">
        <v>18</v>
      </c>
    </row>
    <row r="579" spans="1:4" ht="22.5" customHeight="1">
      <c r="A579" s="105">
        <v>578</v>
      </c>
      <c r="B579" s="105" t="s">
        <v>1158</v>
      </c>
      <c r="C579" s="105" t="s">
        <v>1605</v>
      </c>
      <c r="D579" s="105" t="s">
        <v>18</v>
      </c>
    </row>
    <row r="580" spans="1:4" ht="22.5" customHeight="1">
      <c r="A580" s="105">
        <v>579</v>
      </c>
      <c r="B580" s="105" t="s">
        <v>1162</v>
      </c>
      <c r="C580" s="105" t="s">
        <v>1606</v>
      </c>
      <c r="D580" s="105" t="s">
        <v>18</v>
      </c>
    </row>
    <row r="581" spans="1:4" ht="22.5" customHeight="1">
      <c r="A581" s="105">
        <v>580</v>
      </c>
      <c r="B581" s="105" t="s">
        <v>1607</v>
      </c>
      <c r="C581" s="105" t="s">
        <v>1608</v>
      </c>
      <c r="D581" s="105" t="s">
        <v>18</v>
      </c>
    </row>
    <row r="582" spans="1:4" ht="22.5" customHeight="1">
      <c r="A582" s="105">
        <v>581</v>
      </c>
      <c r="B582" s="105" t="s">
        <v>1609</v>
      </c>
      <c r="C582" s="105" t="s">
        <v>1610</v>
      </c>
      <c r="D582" s="105" t="s">
        <v>18</v>
      </c>
    </row>
    <row r="583" spans="1:4" ht="22.5" customHeight="1">
      <c r="A583" s="105">
        <v>582</v>
      </c>
      <c r="B583" s="105" t="s">
        <v>1611</v>
      </c>
      <c r="C583" s="105" t="s">
        <v>1612</v>
      </c>
      <c r="D583" s="105" t="s">
        <v>18</v>
      </c>
    </row>
    <row r="584" spans="1:4" ht="22.5" customHeight="1">
      <c r="A584" s="105">
        <v>583</v>
      </c>
      <c r="B584" s="105" t="s">
        <v>1613</v>
      </c>
      <c r="C584" s="105" t="s">
        <v>1614</v>
      </c>
      <c r="D584" s="105" t="s">
        <v>18</v>
      </c>
    </row>
    <row r="585" spans="1:4" ht="22.5" customHeight="1">
      <c r="A585" s="105">
        <v>584</v>
      </c>
      <c r="B585" s="105" t="s">
        <v>1615</v>
      </c>
      <c r="C585" s="105" t="s">
        <v>1616</v>
      </c>
      <c r="D585" s="105" t="s">
        <v>18</v>
      </c>
    </row>
    <row r="586" spans="1:4" ht="22.5" customHeight="1">
      <c r="A586" s="105">
        <v>585</v>
      </c>
      <c r="B586" s="105" t="s">
        <v>1617</v>
      </c>
      <c r="C586" s="105" t="s">
        <v>1618</v>
      </c>
      <c r="D586" s="105" t="s">
        <v>18</v>
      </c>
    </row>
    <row r="587" spans="1:4" ht="22.5" customHeight="1">
      <c r="A587" s="105">
        <v>586</v>
      </c>
      <c r="B587" s="105" t="s">
        <v>1619</v>
      </c>
      <c r="C587" s="105" t="s">
        <v>1620</v>
      </c>
      <c r="D587" s="105" t="s">
        <v>18</v>
      </c>
    </row>
    <row r="588" spans="1:4" ht="22.5" customHeight="1">
      <c r="A588" s="105">
        <v>587</v>
      </c>
      <c r="B588" s="105" t="s">
        <v>1621</v>
      </c>
      <c r="C588" s="105" t="s">
        <v>1622</v>
      </c>
      <c r="D588" s="105" t="s">
        <v>18</v>
      </c>
    </row>
    <row r="589" spans="1:4" ht="22.5" customHeight="1">
      <c r="A589" s="105">
        <v>588</v>
      </c>
      <c r="B589" s="105" t="s">
        <v>1623</v>
      </c>
      <c r="C589" s="105" t="s">
        <v>1624</v>
      </c>
      <c r="D589" s="105" t="s">
        <v>18</v>
      </c>
    </row>
    <row r="590" spans="1:4" ht="22.5" customHeight="1">
      <c r="A590" s="105">
        <v>589</v>
      </c>
      <c r="B590" s="105" t="s">
        <v>1625</v>
      </c>
      <c r="C590" s="105" t="s">
        <v>1626</v>
      </c>
      <c r="D590" s="105" t="s">
        <v>18</v>
      </c>
    </row>
    <row r="591" spans="1:4" ht="22.5" customHeight="1">
      <c r="A591" s="105">
        <v>590</v>
      </c>
      <c r="B591" s="105" t="s">
        <v>1627</v>
      </c>
      <c r="C591" s="105" t="s">
        <v>1628</v>
      </c>
      <c r="D591" s="105" t="s">
        <v>18</v>
      </c>
    </row>
    <row r="592" spans="1:4" ht="22.5" customHeight="1">
      <c r="A592" s="105">
        <v>591</v>
      </c>
      <c r="B592" s="105" t="s">
        <v>1629</v>
      </c>
      <c r="C592" s="105" t="s">
        <v>1630</v>
      </c>
      <c r="D592" s="105"/>
    </row>
    <row r="593" spans="1:4" ht="22.5" customHeight="1">
      <c r="A593" s="105">
        <v>592</v>
      </c>
      <c r="B593" s="105" t="s">
        <v>1631</v>
      </c>
      <c r="C593" s="105" t="s">
        <v>1632</v>
      </c>
      <c r="D593" s="105"/>
    </row>
    <row r="594" spans="1:4" ht="22.5" customHeight="1">
      <c r="A594" s="105">
        <v>593</v>
      </c>
      <c r="B594" s="105" t="s">
        <v>1633</v>
      </c>
      <c r="C594" s="105" t="s">
        <v>1634</v>
      </c>
      <c r="D594" s="105"/>
    </row>
    <row r="595" spans="1:4" ht="22.5" customHeight="1">
      <c r="A595" s="105">
        <v>594</v>
      </c>
      <c r="B595" s="105" t="s">
        <v>1635</v>
      </c>
      <c r="C595" s="105" t="s">
        <v>1636</v>
      </c>
      <c r="D595" s="105"/>
    </row>
    <row r="596" spans="1:4" ht="22.5" customHeight="1">
      <c r="A596" s="105">
        <v>595</v>
      </c>
      <c r="B596" s="105" t="s">
        <v>1637</v>
      </c>
      <c r="C596" s="105" t="s">
        <v>1638</v>
      </c>
      <c r="D596" s="105"/>
    </row>
    <row r="597" spans="1:4" ht="22.5" customHeight="1">
      <c r="A597" s="105">
        <v>596</v>
      </c>
      <c r="B597" s="105" t="s">
        <v>1639</v>
      </c>
      <c r="C597" s="105" t="s">
        <v>1640</v>
      </c>
      <c r="D597" s="105"/>
    </row>
    <row r="598" spans="1:4" ht="22.5" customHeight="1">
      <c r="A598" s="105">
        <v>597</v>
      </c>
      <c r="B598" s="105" t="s">
        <v>1641</v>
      </c>
      <c r="C598" s="105" t="s">
        <v>1642</v>
      </c>
      <c r="D598" s="105"/>
    </row>
    <row r="599" spans="1:4" ht="22.5" customHeight="1">
      <c r="A599" s="105">
        <v>598</v>
      </c>
      <c r="B599" s="105" t="s">
        <v>1643</v>
      </c>
      <c r="C599" s="105" t="s">
        <v>1644</v>
      </c>
      <c r="D599" s="105"/>
    </row>
    <row r="600" spans="1:4" ht="22.5" customHeight="1">
      <c r="A600" s="105">
        <v>599</v>
      </c>
      <c r="B600" s="105" t="s">
        <v>1645</v>
      </c>
      <c r="C600" s="105" t="s">
        <v>1646</v>
      </c>
      <c r="D600" s="105"/>
    </row>
    <row r="601" spans="1:4" ht="22.5" customHeight="1">
      <c r="A601" s="105">
        <v>600</v>
      </c>
      <c r="B601" s="105" t="s">
        <v>1647</v>
      </c>
      <c r="C601" s="105" t="s">
        <v>1648</v>
      </c>
      <c r="D601" s="105"/>
    </row>
    <row r="602" spans="1:4" ht="22.5" customHeight="1">
      <c r="A602" s="105">
        <v>601</v>
      </c>
      <c r="B602" s="105" t="s">
        <v>1649</v>
      </c>
      <c r="C602" s="105" t="s">
        <v>1650</v>
      </c>
      <c r="D602" s="105"/>
    </row>
    <row r="603" spans="1:4" ht="22.5" customHeight="1">
      <c r="A603" s="105">
        <v>602</v>
      </c>
      <c r="B603" s="105" t="s">
        <v>1651</v>
      </c>
      <c r="C603" s="105" t="s">
        <v>1652</v>
      </c>
      <c r="D603" s="105"/>
    </row>
    <row r="604" spans="1:4" ht="22.5" customHeight="1">
      <c r="A604" s="105">
        <v>603</v>
      </c>
      <c r="B604" s="105" t="s">
        <v>1653</v>
      </c>
      <c r="C604" s="105" t="s">
        <v>1654</v>
      </c>
      <c r="D604" s="105"/>
    </row>
    <row r="605" spans="1:4" ht="22.5" customHeight="1">
      <c r="A605" s="105">
        <v>604</v>
      </c>
      <c r="B605" s="105" t="s">
        <v>1655</v>
      </c>
      <c r="C605" s="105" t="s">
        <v>1656</v>
      </c>
      <c r="D605" s="105"/>
    </row>
    <row r="606" spans="1:4" ht="22.5" customHeight="1">
      <c r="A606" s="105">
        <v>605</v>
      </c>
      <c r="B606" s="105" t="s">
        <v>1657</v>
      </c>
      <c r="C606" s="105" t="s">
        <v>1658</v>
      </c>
      <c r="D606" s="105"/>
    </row>
    <row r="607" spans="1:4" ht="22.5" customHeight="1">
      <c r="A607" s="105">
        <v>606</v>
      </c>
      <c r="B607" s="105" t="s">
        <v>1659</v>
      </c>
      <c r="C607" s="105" t="s">
        <v>1660</v>
      </c>
      <c r="D607" s="105"/>
    </row>
    <row r="608" spans="1:4" ht="22.5" customHeight="1">
      <c r="A608" s="105">
        <v>607</v>
      </c>
      <c r="B608" s="105" t="s">
        <v>1661</v>
      </c>
      <c r="C608" s="105" t="s">
        <v>1662</v>
      </c>
      <c r="D608" s="105"/>
    </row>
    <row r="609" spans="1:4" ht="22.5" customHeight="1">
      <c r="A609" s="105">
        <v>608</v>
      </c>
      <c r="B609" s="105" t="s">
        <v>1663</v>
      </c>
      <c r="C609" s="105" t="s">
        <v>1664</v>
      </c>
      <c r="D609" s="105"/>
    </row>
    <row r="610" spans="1:4" ht="22.5" customHeight="1">
      <c r="A610" s="105">
        <v>609</v>
      </c>
      <c r="B610" s="105" t="s">
        <v>1665</v>
      </c>
      <c r="C610" s="105" t="s">
        <v>1666</v>
      </c>
      <c r="D610" s="105"/>
    </row>
    <row r="611" spans="1:4" ht="22.5" customHeight="1">
      <c r="A611" s="105">
        <v>610</v>
      </c>
      <c r="B611" s="105" t="s">
        <v>1667</v>
      </c>
      <c r="C611" s="105" t="s">
        <v>1668</v>
      </c>
      <c r="D611" s="105"/>
    </row>
    <row r="612" spans="1:4" ht="22.5" customHeight="1">
      <c r="A612" s="105">
        <v>611</v>
      </c>
      <c r="B612" s="105" t="s">
        <v>1669</v>
      </c>
      <c r="C612" s="105" t="s">
        <v>1670</v>
      </c>
      <c r="D612" s="105"/>
    </row>
    <row r="613" spans="1:4" ht="22.5" customHeight="1">
      <c r="A613" s="105">
        <v>612</v>
      </c>
      <c r="B613" s="105" t="s">
        <v>1671</v>
      </c>
      <c r="C613" s="105" t="s">
        <v>1672</v>
      </c>
      <c r="D613" s="105"/>
    </row>
    <row r="614" spans="1:4" ht="22.5" customHeight="1">
      <c r="A614" s="105">
        <v>613</v>
      </c>
      <c r="B614" s="105" t="s">
        <v>1673</v>
      </c>
      <c r="C614" s="105" t="s">
        <v>1674</v>
      </c>
      <c r="D614" s="105"/>
    </row>
    <row r="615" spans="1:4" ht="22.5" customHeight="1">
      <c r="A615" s="105">
        <v>614</v>
      </c>
      <c r="B615" s="105" t="s">
        <v>1675</v>
      </c>
      <c r="C615" s="105" t="s">
        <v>1676</v>
      </c>
      <c r="D615" s="105"/>
    </row>
    <row r="616" spans="1:4" ht="22.5" customHeight="1">
      <c r="A616" s="105">
        <v>615</v>
      </c>
      <c r="B616" s="105" t="s">
        <v>1677</v>
      </c>
      <c r="C616" s="105" t="s">
        <v>1678</v>
      </c>
      <c r="D616" s="105"/>
    </row>
    <row r="617" spans="1:4" ht="22.5" customHeight="1">
      <c r="A617" s="105">
        <v>616</v>
      </c>
      <c r="B617" s="105" t="s">
        <v>1679</v>
      </c>
      <c r="C617" s="105" t="s">
        <v>1680</v>
      </c>
      <c r="D617" s="105"/>
    </row>
    <row r="618" spans="1:4" ht="22.5" customHeight="1">
      <c r="A618" s="105">
        <v>617</v>
      </c>
      <c r="B618" s="105" t="s">
        <v>1681</v>
      </c>
      <c r="C618" s="105" t="s">
        <v>1682</v>
      </c>
      <c r="D618" s="105"/>
    </row>
    <row r="619" spans="1:4" ht="22.5" customHeight="1">
      <c r="A619" s="105">
        <v>618</v>
      </c>
      <c r="B619" s="105" t="s">
        <v>1683</v>
      </c>
      <c r="C619" s="105" t="s">
        <v>1684</v>
      </c>
      <c r="D619" s="105"/>
    </row>
    <row r="620" spans="1:4" ht="22.5" customHeight="1">
      <c r="A620" s="105">
        <v>619</v>
      </c>
      <c r="B620" s="105" t="s">
        <v>1685</v>
      </c>
      <c r="C620" s="105" t="s">
        <v>1686</v>
      </c>
      <c r="D620" s="105"/>
    </row>
    <row r="621" spans="1:4" ht="22.5" customHeight="1">
      <c r="A621" s="105">
        <v>620</v>
      </c>
      <c r="B621" s="105" t="s">
        <v>1687</v>
      </c>
      <c r="C621" s="105" t="s">
        <v>1688</v>
      </c>
      <c r="D621" s="105"/>
    </row>
    <row r="622" spans="1:4" ht="22.5" customHeight="1">
      <c r="A622" s="105">
        <v>621</v>
      </c>
      <c r="B622" s="105" t="s">
        <v>1689</v>
      </c>
      <c r="C622" s="105" t="s">
        <v>1690</v>
      </c>
      <c r="D622" s="105"/>
    </row>
    <row r="623" spans="1:4" ht="22.5" customHeight="1">
      <c r="A623" s="105">
        <v>622</v>
      </c>
      <c r="B623" s="105" t="s">
        <v>1691</v>
      </c>
      <c r="C623" s="105" t="s">
        <v>1692</v>
      </c>
      <c r="D623" s="105"/>
    </row>
    <row r="624" spans="1:4" ht="22.5" customHeight="1">
      <c r="A624" s="105">
        <v>623</v>
      </c>
      <c r="B624" s="105" t="s">
        <v>1693</v>
      </c>
      <c r="C624" s="105" t="s">
        <v>1694</v>
      </c>
      <c r="D624" s="105"/>
    </row>
    <row r="625" spans="1:4" ht="22.5" customHeight="1">
      <c r="A625" s="105">
        <v>624</v>
      </c>
      <c r="B625" s="105" t="s">
        <v>1695</v>
      </c>
      <c r="C625" s="105" t="s">
        <v>1696</v>
      </c>
      <c r="D625" s="105"/>
    </row>
    <row r="626" spans="1:4" ht="22.5" customHeight="1">
      <c r="A626" s="105">
        <v>625</v>
      </c>
      <c r="B626" s="105" t="s">
        <v>1697</v>
      </c>
      <c r="C626" s="105" t="s">
        <v>1698</v>
      </c>
      <c r="D626" s="105"/>
    </row>
    <row r="627" spans="1:4" ht="22.5" customHeight="1">
      <c r="A627" s="105">
        <v>626</v>
      </c>
      <c r="B627" s="105" t="s">
        <v>1699</v>
      </c>
      <c r="C627" s="105" t="s">
        <v>1700</v>
      </c>
      <c r="D627" s="105"/>
    </row>
    <row r="628" spans="1:4" ht="22.5" customHeight="1">
      <c r="A628" s="105">
        <v>627</v>
      </c>
      <c r="B628" s="105" t="s">
        <v>1701</v>
      </c>
      <c r="C628" s="105" t="s">
        <v>1702</v>
      </c>
      <c r="D628" s="105"/>
    </row>
    <row r="629" spans="1:4" ht="22.5" customHeight="1">
      <c r="A629" s="105">
        <v>628</v>
      </c>
      <c r="B629" s="105" t="s">
        <v>1703</v>
      </c>
      <c r="C629" s="105" t="s">
        <v>1704</v>
      </c>
      <c r="D629" s="105"/>
    </row>
    <row r="630" spans="1:4" ht="22.5" customHeight="1">
      <c r="A630" s="105">
        <v>629</v>
      </c>
      <c r="B630" s="105" t="s">
        <v>1705</v>
      </c>
      <c r="C630" s="105" t="s">
        <v>1706</v>
      </c>
      <c r="D630" s="105"/>
    </row>
    <row r="631" spans="1:4" ht="22.5" customHeight="1">
      <c r="A631" s="105">
        <v>630</v>
      </c>
      <c r="B631" s="105" t="s">
        <v>1707</v>
      </c>
      <c r="C631" s="105" t="s">
        <v>1708</v>
      </c>
      <c r="D631" s="105"/>
    </row>
    <row r="632" spans="1:4" ht="22.5" customHeight="1">
      <c r="A632" s="105">
        <v>631</v>
      </c>
      <c r="B632" s="105" t="s">
        <v>1709</v>
      </c>
      <c r="C632" s="105" t="s">
        <v>1710</v>
      </c>
      <c r="D632" s="105"/>
    </row>
    <row r="633" spans="1:4" ht="22.5" customHeight="1">
      <c r="A633" s="105">
        <v>632</v>
      </c>
      <c r="B633" s="105" t="s">
        <v>1711</v>
      </c>
      <c r="C633" s="105" t="s">
        <v>1712</v>
      </c>
      <c r="D633" s="105"/>
    </row>
    <row r="634" spans="1:4" ht="22.5" customHeight="1">
      <c r="A634" s="105">
        <v>633</v>
      </c>
      <c r="B634" s="105" t="s">
        <v>1713</v>
      </c>
      <c r="C634" s="105" t="s">
        <v>1714</v>
      </c>
      <c r="D634" s="105"/>
    </row>
    <row r="635" spans="1:4" ht="22.5" customHeight="1">
      <c r="A635" s="105">
        <v>634</v>
      </c>
      <c r="B635" s="105" t="s">
        <v>1557</v>
      </c>
      <c r="C635" s="105" t="s">
        <v>1715</v>
      </c>
      <c r="D635" s="105"/>
    </row>
    <row r="636" spans="1:4" ht="22.5" customHeight="1">
      <c r="A636" s="105">
        <v>635</v>
      </c>
      <c r="B636" s="105" t="s">
        <v>1716</v>
      </c>
      <c r="C636" s="105" t="s">
        <v>1717</v>
      </c>
      <c r="D636" s="105"/>
    </row>
    <row r="637" spans="1:4" ht="22.5" customHeight="1">
      <c r="A637" s="105">
        <v>636</v>
      </c>
      <c r="B637" s="105" t="s">
        <v>802</v>
      </c>
      <c r="C637" s="105" t="s">
        <v>1718</v>
      </c>
      <c r="D637" s="105"/>
    </row>
    <row r="638" spans="1:4" ht="22.5" customHeight="1">
      <c r="A638" s="105">
        <v>637</v>
      </c>
      <c r="B638" s="105" t="s">
        <v>1719</v>
      </c>
      <c r="C638" s="105" t="s">
        <v>1720</v>
      </c>
      <c r="D638" s="105"/>
    </row>
    <row r="639" spans="1:4" ht="22.5" customHeight="1">
      <c r="A639" s="105">
        <v>638</v>
      </c>
      <c r="B639" s="105" t="s">
        <v>1721</v>
      </c>
      <c r="C639" s="105" t="s">
        <v>1722</v>
      </c>
      <c r="D639" s="105"/>
    </row>
    <row r="640" spans="1:4" ht="22.5" customHeight="1">
      <c r="A640" s="105">
        <v>639</v>
      </c>
      <c r="B640" s="105" t="s">
        <v>1723</v>
      </c>
      <c r="C640" s="105" t="s">
        <v>1724</v>
      </c>
      <c r="D640" s="105"/>
    </row>
    <row r="641" spans="1:4" ht="22.5" customHeight="1">
      <c r="A641" s="105">
        <v>640</v>
      </c>
      <c r="B641" s="105" t="s">
        <v>1725</v>
      </c>
      <c r="C641" s="105" t="s">
        <v>1726</v>
      </c>
      <c r="D641" s="105"/>
    </row>
    <row r="642" spans="1:4" ht="22.5" customHeight="1">
      <c r="A642" s="105">
        <v>641</v>
      </c>
      <c r="B642" s="105" t="s">
        <v>1727</v>
      </c>
      <c r="C642" s="105" t="s">
        <v>1728</v>
      </c>
      <c r="D642" s="105"/>
    </row>
    <row r="643" spans="1:4" ht="22.5" customHeight="1">
      <c r="A643" s="105">
        <v>642</v>
      </c>
      <c r="B643" s="105" t="s">
        <v>1729</v>
      </c>
      <c r="C643" s="105" t="s">
        <v>1730</v>
      </c>
      <c r="D643" s="105"/>
    </row>
    <row r="644" spans="1:4" ht="22.5" customHeight="1">
      <c r="A644" s="105">
        <v>643</v>
      </c>
      <c r="B644" s="105" t="s">
        <v>1731</v>
      </c>
      <c r="C644" s="105" t="s">
        <v>1732</v>
      </c>
      <c r="D644" s="105"/>
    </row>
    <row r="645" spans="1:4" ht="22.5" customHeight="1">
      <c r="A645" s="105">
        <v>644</v>
      </c>
      <c r="B645" s="105" t="s">
        <v>1733</v>
      </c>
      <c r="C645" s="105" t="s">
        <v>1734</v>
      </c>
      <c r="D645" s="105"/>
    </row>
    <row r="646" spans="1:4" ht="22.5" customHeight="1">
      <c r="A646" s="105">
        <v>645</v>
      </c>
      <c r="B646" s="105" t="s">
        <v>1735</v>
      </c>
      <c r="C646" s="105" t="s">
        <v>1736</v>
      </c>
      <c r="D646" s="105"/>
    </row>
    <row r="647" spans="1:4" ht="22.5" customHeight="1">
      <c r="A647" s="105">
        <v>646</v>
      </c>
      <c r="B647" s="105" t="s">
        <v>1737</v>
      </c>
      <c r="C647" s="105" t="s">
        <v>1738</v>
      </c>
      <c r="D647" s="105"/>
    </row>
    <row r="648" spans="1:4" ht="22.5" customHeight="1">
      <c r="A648" s="105">
        <v>647</v>
      </c>
      <c r="B648" s="105" t="s">
        <v>1739</v>
      </c>
      <c r="C648" s="105" t="s">
        <v>1740</v>
      </c>
      <c r="D648" s="105"/>
    </row>
    <row r="649" spans="1:4" ht="22.5" customHeight="1">
      <c r="A649" s="105">
        <v>648</v>
      </c>
      <c r="B649" s="105" t="s">
        <v>589</v>
      </c>
      <c r="C649" s="105" t="s">
        <v>1741</v>
      </c>
      <c r="D649" s="105"/>
    </row>
    <row r="650" spans="1:4" ht="22.5" customHeight="1">
      <c r="A650" s="105">
        <v>649</v>
      </c>
      <c r="B650" s="105" t="s">
        <v>1742</v>
      </c>
      <c r="C650" s="105" t="s">
        <v>1743</v>
      </c>
      <c r="D650" s="105"/>
    </row>
    <row r="651" spans="1:4" ht="22.5" customHeight="1">
      <c r="A651" s="105">
        <v>650</v>
      </c>
      <c r="B651" s="105" t="s">
        <v>1744</v>
      </c>
      <c r="C651" s="105" t="s">
        <v>1745</v>
      </c>
      <c r="D651" s="105"/>
    </row>
    <row r="652" spans="1:4" ht="22.5" customHeight="1">
      <c r="A652" s="105">
        <v>651</v>
      </c>
      <c r="B652" s="105" t="s">
        <v>1746</v>
      </c>
      <c r="C652" s="105" t="s">
        <v>1747</v>
      </c>
      <c r="D652" s="105"/>
    </row>
    <row r="653" spans="1:4" ht="22.5" customHeight="1">
      <c r="A653" s="105">
        <v>652</v>
      </c>
      <c r="B653" s="105" t="s">
        <v>1748</v>
      </c>
      <c r="C653" s="105" t="s">
        <v>1749</v>
      </c>
      <c r="D653" s="105"/>
    </row>
    <row r="654" spans="1:4" ht="22.5" customHeight="1">
      <c r="A654" s="105">
        <v>653</v>
      </c>
      <c r="B654" s="105" t="s">
        <v>1750</v>
      </c>
      <c r="C654" s="105" t="s">
        <v>1751</v>
      </c>
      <c r="D654" s="105"/>
    </row>
    <row r="655" spans="1:4" ht="22.5" customHeight="1">
      <c r="A655" s="105">
        <v>654</v>
      </c>
      <c r="B655" s="105" t="s">
        <v>1752</v>
      </c>
      <c r="C655" s="105" t="s">
        <v>1753</v>
      </c>
      <c r="D655" s="105"/>
    </row>
    <row r="656" spans="1:4" ht="22.5" customHeight="1">
      <c r="A656" s="105">
        <v>655</v>
      </c>
      <c r="B656" s="105" t="s">
        <v>1754</v>
      </c>
      <c r="C656" s="105" t="s">
        <v>1755</v>
      </c>
      <c r="D656" s="105"/>
    </row>
    <row r="657" spans="1:4" ht="22.5" customHeight="1">
      <c r="A657" s="105">
        <v>656</v>
      </c>
      <c r="B657" s="105" t="s">
        <v>1756</v>
      </c>
      <c r="C657" s="105" t="s">
        <v>1757</v>
      </c>
      <c r="D657" s="105"/>
    </row>
    <row r="658" spans="1:4" ht="22.5" customHeight="1">
      <c r="A658" s="105">
        <v>657</v>
      </c>
      <c r="B658" s="105" t="s">
        <v>1758</v>
      </c>
      <c r="C658" s="105" t="s">
        <v>1759</v>
      </c>
      <c r="D658" s="105"/>
    </row>
    <row r="659" spans="1:4" ht="22.5" customHeight="1">
      <c r="A659" s="105">
        <v>658</v>
      </c>
      <c r="B659" s="105" t="s">
        <v>1760</v>
      </c>
      <c r="C659" s="105" t="s">
        <v>1761</v>
      </c>
      <c r="D659" s="105"/>
    </row>
    <row r="660" spans="1:4" ht="22.5" customHeight="1">
      <c r="A660" s="105">
        <v>659</v>
      </c>
      <c r="B660" s="105" t="s">
        <v>1762</v>
      </c>
      <c r="C660" s="105" t="s">
        <v>1763</v>
      </c>
      <c r="D660" s="105"/>
    </row>
    <row r="661" spans="1:4" ht="22.5" customHeight="1">
      <c r="A661" s="105">
        <v>660</v>
      </c>
      <c r="B661" s="105" t="s">
        <v>1764</v>
      </c>
      <c r="C661" s="105" t="s">
        <v>1765</v>
      </c>
      <c r="D661" s="105"/>
    </row>
    <row r="662" spans="1:4" ht="22.5" customHeight="1">
      <c r="A662" s="105">
        <v>661</v>
      </c>
      <c r="B662" s="105" t="s">
        <v>1766</v>
      </c>
      <c r="C662" s="105" t="s">
        <v>1767</v>
      </c>
      <c r="D662" s="105"/>
    </row>
    <row r="663" spans="1:4" ht="22.5" customHeight="1">
      <c r="A663" s="105">
        <v>662</v>
      </c>
      <c r="B663" s="105" t="s">
        <v>1768</v>
      </c>
      <c r="C663" s="105" t="s">
        <v>1769</v>
      </c>
      <c r="D663" s="105"/>
    </row>
    <row r="664" spans="1:4" ht="22.5" customHeight="1">
      <c r="A664" s="105">
        <v>663</v>
      </c>
      <c r="B664" s="105" t="s">
        <v>1770</v>
      </c>
      <c r="C664" s="105" t="s">
        <v>1771</v>
      </c>
      <c r="D664" s="105"/>
    </row>
    <row r="665" spans="1:4" ht="22.5" customHeight="1">
      <c r="A665" s="105">
        <v>664</v>
      </c>
      <c r="B665" s="105" t="s">
        <v>1772</v>
      </c>
      <c r="C665" s="105" t="s">
        <v>1773</v>
      </c>
      <c r="D665" s="105"/>
    </row>
    <row r="666" spans="1:4" ht="22.5" customHeight="1">
      <c r="A666" s="105">
        <v>665</v>
      </c>
      <c r="B666" s="105" t="s">
        <v>1774</v>
      </c>
      <c r="C666" s="105" t="s">
        <v>1775</v>
      </c>
      <c r="D666" s="105"/>
    </row>
    <row r="667" spans="1:4" ht="22.5" customHeight="1">
      <c r="A667" s="105">
        <v>666</v>
      </c>
      <c r="B667" s="105" t="s">
        <v>1776</v>
      </c>
      <c r="C667" s="105" t="s">
        <v>1777</v>
      </c>
      <c r="D667" s="105"/>
    </row>
    <row r="668" spans="1:4" ht="22.5" customHeight="1">
      <c r="A668" s="105">
        <v>667</v>
      </c>
      <c r="B668" s="105" t="s">
        <v>1778</v>
      </c>
      <c r="C668" s="105" t="s">
        <v>1779</v>
      </c>
      <c r="D668" s="105"/>
    </row>
    <row r="669" spans="1:4" ht="22.5" customHeight="1">
      <c r="A669" s="105">
        <v>668</v>
      </c>
      <c r="B669" s="105" t="s">
        <v>1780</v>
      </c>
      <c r="C669" s="105" t="s">
        <v>761</v>
      </c>
      <c r="D669" s="105"/>
    </row>
    <row r="670" spans="1:4" ht="22.5" customHeight="1">
      <c r="A670" s="105">
        <v>669</v>
      </c>
      <c r="B670" s="105" t="s">
        <v>1781</v>
      </c>
      <c r="C670" s="105" t="s">
        <v>1782</v>
      </c>
      <c r="D670" s="105"/>
    </row>
    <row r="671" spans="1:4" ht="22.5" customHeight="1">
      <c r="A671" s="105">
        <v>670</v>
      </c>
      <c r="B671" s="105" t="s">
        <v>1783</v>
      </c>
      <c r="C671" s="105" t="s">
        <v>1784</v>
      </c>
      <c r="D671" s="105"/>
    </row>
    <row r="672" spans="1:4" ht="22.5" customHeight="1">
      <c r="A672" s="105">
        <v>671</v>
      </c>
      <c r="B672" s="105" t="s">
        <v>1785</v>
      </c>
      <c r="C672" s="105" t="s">
        <v>1786</v>
      </c>
      <c r="D672" s="105"/>
    </row>
    <row r="673" spans="1:4" ht="22.5" customHeight="1">
      <c r="A673" s="105">
        <v>672</v>
      </c>
      <c r="B673" s="105" t="s">
        <v>1787</v>
      </c>
      <c r="C673" s="105" t="s">
        <v>1788</v>
      </c>
      <c r="D673" s="105"/>
    </row>
    <row r="674" spans="1:4" ht="22.5" customHeight="1">
      <c r="A674" s="105">
        <v>673</v>
      </c>
      <c r="B674" s="105" t="s">
        <v>1789</v>
      </c>
      <c r="C674" s="105" t="s">
        <v>1790</v>
      </c>
      <c r="D674" s="105"/>
    </row>
    <row r="675" spans="1:4" ht="22.5" customHeight="1">
      <c r="A675" s="105">
        <v>674</v>
      </c>
      <c r="B675" s="105" t="s">
        <v>1791</v>
      </c>
      <c r="C675" s="105" t="s">
        <v>1792</v>
      </c>
      <c r="D675" s="105"/>
    </row>
    <row r="676" spans="1:4" ht="22.5" customHeight="1">
      <c r="A676" s="105">
        <v>675</v>
      </c>
      <c r="B676" s="105" t="s">
        <v>1793</v>
      </c>
      <c r="C676" s="105" t="s">
        <v>1794</v>
      </c>
      <c r="D676" s="105"/>
    </row>
    <row r="677" spans="1:4" ht="22.5" customHeight="1">
      <c r="A677" s="105">
        <v>676</v>
      </c>
      <c r="B677" s="105" t="s">
        <v>717</v>
      </c>
      <c r="C677" s="105" t="s">
        <v>718</v>
      </c>
      <c r="D677" s="105"/>
    </row>
    <row r="678" spans="1:4" ht="22.5" customHeight="1">
      <c r="A678" s="105">
        <v>677</v>
      </c>
      <c r="B678" s="105" t="s">
        <v>1795</v>
      </c>
      <c r="C678" s="105" t="s">
        <v>1796</v>
      </c>
      <c r="D678" s="105"/>
    </row>
    <row r="679" spans="1:4" ht="22.5" customHeight="1">
      <c r="A679" s="105">
        <v>678</v>
      </c>
      <c r="B679" s="105" t="s">
        <v>1797</v>
      </c>
      <c r="C679" s="105" t="s">
        <v>1798</v>
      </c>
      <c r="D679" s="105"/>
    </row>
    <row r="680" spans="1:4" ht="22.5" customHeight="1">
      <c r="A680" s="105">
        <v>679</v>
      </c>
      <c r="B680" s="105" t="s">
        <v>1799</v>
      </c>
      <c r="C680" s="105" t="s">
        <v>1800</v>
      </c>
      <c r="D680" s="105"/>
    </row>
    <row r="681" spans="1:4" ht="22.5" customHeight="1">
      <c r="A681" s="105">
        <v>680</v>
      </c>
      <c r="B681" s="105" t="s">
        <v>1801</v>
      </c>
      <c r="C681" s="105" t="s">
        <v>1802</v>
      </c>
      <c r="D681" s="105"/>
    </row>
    <row r="682" spans="1:4" ht="22.5" customHeight="1">
      <c r="A682" s="105">
        <v>681</v>
      </c>
      <c r="B682" s="105" t="s">
        <v>1803</v>
      </c>
      <c r="C682" s="105" t="s">
        <v>1804</v>
      </c>
      <c r="D682" s="105"/>
    </row>
    <row r="683" spans="1:4" ht="22.5" customHeight="1">
      <c r="A683" s="105">
        <v>682</v>
      </c>
      <c r="B683" s="105" t="s">
        <v>1805</v>
      </c>
      <c r="C683" s="105" t="s">
        <v>1806</v>
      </c>
      <c r="D683" s="105"/>
    </row>
    <row r="684" spans="1:4" ht="22.5" customHeight="1">
      <c r="A684" s="105">
        <v>683</v>
      </c>
      <c r="B684" s="105" t="s">
        <v>1807</v>
      </c>
      <c r="C684" s="105" t="s">
        <v>1808</v>
      </c>
      <c r="D684" s="105"/>
    </row>
    <row r="685" spans="1:4" ht="22.5" customHeight="1">
      <c r="A685" s="105">
        <v>684</v>
      </c>
      <c r="B685" s="105" t="s">
        <v>1809</v>
      </c>
      <c r="C685" s="105" t="s">
        <v>1810</v>
      </c>
      <c r="D685" s="105"/>
    </row>
    <row r="686" spans="1:4" ht="22.5" customHeight="1">
      <c r="A686" s="105">
        <v>685</v>
      </c>
      <c r="B686" s="105" t="s">
        <v>1811</v>
      </c>
      <c r="C686" s="105" t="s">
        <v>1812</v>
      </c>
      <c r="D686" s="105"/>
    </row>
    <row r="687" spans="1:4" ht="22.5" customHeight="1">
      <c r="A687" s="105">
        <v>686</v>
      </c>
      <c r="B687" s="105" t="s">
        <v>1813</v>
      </c>
      <c r="C687" s="105" t="s">
        <v>1814</v>
      </c>
      <c r="D687" s="105"/>
    </row>
    <row r="688" spans="1:4" ht="22.5" customHeight="1">
      <c r="A688" s="105">
        <v>687</v>
      </c>
      <c r="B688" s="105" t="s">
        <v>1815</v>
      </c>
      <c r="C688" s="105" t="s">
        <v>1816</v>
      </c>
      <c r="D688" s="105"/>
    </row>
    <row r="689" spans="1:4" ht="22.5" customHeight="1">
      <c r="A689" s="105">
        <v>688</v>
      </c>
      <c r="B689" s="105" t="s">
        <v>1817</v>
      </c>
      <c r="C689" s="105" t="s">
        <v>1818</v>
      </c>
      <c r="D689" s="105"/>
    </row>
    <row r="690" spans="1:4" ht="22.5" customHeight="1">
      <c r="A690" s="105">
        <v>689</v>
      </c>
      <c r="B690" s="105" t="s">
        <v>1819</v>
      </c>
      <c r="C690" s="105" t="s">
        <v>1820</v>
      </c>
      <c r="D690" s="105"/>
    </row>
    <row r="691" spans="1:4" ht="22.5" customHeight="1">
      <c r="A691" s="105">
        <v>690</v>
      </c>
      <c r="B691" s="105" t="s">
        <v>1821</v>
      </c>
      <c r="C691" s="105" t="s">
        <v>1822</v>
      </c>
      <c r="D691" s="105"/>
    </row>
    <row r="692" spans="1:4" ht="22.5" customHeight="1">
      <c r="A692" s="105">
        <v>691</v>
      </c>
      <c r="B692" s="105" t="s">
        <v>1823</v>
      </c>
      <c r="C692" s="105" t="s">
        <v>1824</v>
      </c>
      <c r="D692" s="105"/>
    </row>
    <row r="693" spans="1:4" ht="22.5" customHeight="1">
      <c r="A693" s="105">
        <v>692</v>
      </c>
      <c r="B693" s="105" t="s">
        <v>1825</v>
      </c>
      <c r="C693" s="105" t="s">
        <v>1826</v>
      </c>
      <c r="D693" s="105"/>
    </row>
    <row r="694" spans="1:4" ht="22.5" customHeight="1">
      <c r="A694" s="105">
        <v>693</v>
      </c>
      <c r="B694" s="105" t="s">
        <v>1827</v>
      </c>
      <c r="C694" s="105" t="s">
        <v>1828</v>
      </c>
      <c r="D694" s="105"/>
    </row>
    <row r="695" spans="1:4" ht="22.5" customHeight="1">
      <c r="A695" s="105">
        <v>694</v>
      </c>
      <c r="B695" s="105" t="s">
        <v>1829</v>
      </c>
      <c r="C695" s="105" t="s">
        <v>1830</v>
      </c>
      <c r="D695" s="105"/>
    </row>
    <row r="696" spans="1:4" ht="22.5" customHeight="1">
      <c r="A696" s="105">
        <v>695</v>
      </c>
      <c r="B696" s="105" t="s">
        <v>1831</v>
      </c>
      <c r="C696" s="105" t="s">
        <v>1832</v>
      </c>
      <c r="D696" s="105"/>
    </row>
    <row r="697" spans="1:4" ht="22.5" customHeight="1">
      <c r="A697" s="105">
        <v>696</v>
      </c>
      <c r="B697" s="105" t="s">
        <v>1833</v>
      </c>
      <c r="C697" s="105" t="s">
        <v>1834</v>
      </c>
      <c r="D697" s="105"/>
    </row>
    <row r="698" spans="1:4" ht="22.5" customHeight="1">
      <c r="A698" s="105">
        <v>697</v>
      </c>
      <c r="B698" s="105" t="s">
        <v>1835</v>
      </c>
      <c r="C698" s="105" t="s">
        <v>1836</v>
      </c>
      <c r="D698" s="105"/>
    </row>
    <row r="699" spans="1:4" ht="22.5" customHeight="1">
      <c r="A699" s="105">
        <v>698</v>
      </c>
      <c r="B699" s="105" t="s">
        <v>1837</v>
      </c>
      <c r="C699" s="105" t="s">
        <v>1838</v>
      </c>
      <c r="D699" s="105"/>
    </row>
    <row r="700" spans="1:4" ht="22.5" customHeight="1">
      <c r="A700" s="105">
        <v>699</v>
      </c>
      <c r="B700" s="105" t="s">
        <v>1839</v>
      </c>
      <c r="C700" s="105" t="s">
        <v>1840</v>
      </c>
      <c r="D700" s="105"/>
    </row>
    <row r="701" spans="1:4" ht="22.5" customHeight="1">
      <c r="A701" s="105">
        <v>700</v>
      </c>
      <c r="B701" s="105" t="s">
        <v>1841</v>
      </c>
      <c r="C701" s="105" t="s">
        <v>1842</v>
      </c>
      <c r="D701" s="105"/>
    </row>
    <row r="702" spans="1:4" ht="22.5" customHeight="1">
      <c r="A702" s="105">
        <v>701</v>
      </c>
      <c r="B702" s="105" t="s">
        <v>1843</v>
      </c>
      <c r="C702" s="105" t="s">
        <v>1844</v>
      </c>
      <c r="D702" s="105"/>
    </row>
    <row r="703" spans="1:4" ht="22.5" customHeight="1">
      <c r="A703" s="105">
        <v>702</v>
      </c>
      <c r="B703" s="105" t="s">
        <v>1845</v>
      </c>
      <c r="C703" s="105" t="s">
        <v>1846</v>
      </c>
      <c r="D703" s="105"/>
    </row>
    <row r="704" spans="1:4" ht="22.5" customHeight="1">
      <c r="A704" s="105">
        <v>703</v>
      </c>
      <c r="B704" s="105" t="s">
        <v>1847</v>
      </c>
      <c r="C704" s="105" t="s">
        <v>1848</v>
      </c>
      <c r="D704" s="105"/>
    </row>
    <row r="705" spans="1:4" ht="22.5" customHeight="1">
      <c r="A705" s="105">
        <v>704</v>
      </c>
      <c r="B705" s="105" t="s">
        <v>1849</v>
      </c>
      <c r="C705" s="105" t="s">
        <v>1850</v>
      </c>
      <c r="D705" s="105"/>
    </row>
    <row r="706" spans="1:4" ht="22.5" customHeight="1">
      <c r="A706" s="105">
        <v>705</v>
      </c>
      <c r="B706" s="105" t="s">
        <v>1851</v>
      </c>
      <c r="C706" s="105" t="s">
        <v>1852</v>
      </c>
      <c r="D706" s="105"/>
    </row>
    <row r="707" spans="1:4" ht="43.5" customHeight="1">
      <c r="A707" s="105">
        <v>706</v>
      </c>
      <c r="B707" s="105" t="s">
        <v>1853</v>
      </c>
      <c r="C707" s="105" t="s">
        <v>4059</v>
      </c>
      <c r="D707" s="105"/>
    </row>
    <row r="708" spans="1:4" ht="22.5" customHeight="1">
      <c r="A708" s="105">
        <v>707</v>
      </c>
      <c r="B708" s="105" t="s">
        <v>1854</v>
      </c>
      <c r="C708" s="105" t="s">
        <v>1855</v>
      </c>
      <c r="D708" s="105"/>
    </row>
    <row r="709" spans="1:4" ht="22.5" customHeight="1">
      <c r="A709" s="105">
        <v>708</v>
      </c>
      <c r="B709" s="105" t="s">
        <v>1856</v>
      </c>
      <c r="C709" s="105" t="s">
        <v>1857</v>
      </c>
      <c r="D709" s="105"/>
    </row>
    <row r="710" spans="1:4" ht="22.5" customHeight="1">
      <c r="A710" s="105">
        <v>709</v>
      </c>
      <c r="B710" s="105" t="s">
        <v>1858</v>
      </c>
      <c r="C710" s="105" t="s">
        <v>1859</v>
      </c>
      <c r="D710" s="105"/>
    </row>
    <row r="711" spans="1:4" ht="22.5" customHeight="1">
      <c r="A711" s="105">
        <v>710</v>
      </c>
      <c r="B711" s="105" t="s">
        <v>1860</v>
      </c>
      <c r="C711" s="105" t="s">
        <v>1861</v>
      </c>
      <c r="D711" s="105"/>
    </row>
    <row r="712" spans="1:4" ht="22.5" customHeight="1">
      <c r="A712" s="105">
        <v>711</v>
      </c>
      <c r="B712" s="105" t="s">
        <v>1862</v>
      </c>
      <c r="C712" s="105" t="s">
        <v>1863</v>
      </c>
      <c r="D712" s="105"/>
    </row>
    <row r="713" spans="1:4" ht="22.5" customHeight="1">
      <c r="A713" s="105">
        <v>712</v>
      </c>
      <c r="B713" s="105" t="s">
        <v>1864</v>
      </c>
      <c r="C713" s="105" t="s">
        <v>1865</v>
      </c>
      <c r="D713" s="105"/>
    </row>
    <row r="714" spans="1:4" ht="22.5" customHeight="1">
      <c r="A714" s="105">
        <v>713</v>
      </c>
      <c r="B714" s="105" t="s">
        <v>1866</v>
      </c>
      <c r="C714" s="105" t="s">
        <v>1867</v>
      </c>
      <c r="D714" s="105"/>
    </row>
    <row r="715" spans="1:4" ht="22.5" customHeight="1">
      <c r="A715" s="105">
        <v>714</v>
      </c>
      <c r="B715" s="105" t="s">
        <v>1868</v>
      </c>
      <c r="C715" s="105" t="s">
        <v>1869</v>
      </c>
      <c r="D715" s="105"/>
    </row>
    <row r="716" spans="1:4" ht="22.5" customHeight="1">
      <c r="A716" s="105">
        <v>715</v>
      </c>
      <c r="B716" s="105" t="s">
        <v>1870</v>
      </c>
      <c r="C716" s="105" t="s">
        <v>1871</v>
      </c>
      <c r="D716" s="105"/>
    </row>
    <row r="717" spans="1:4" ht="22.5" customHeight="1">
      <c r="A717" s="105">
        <v>716</v>
      </c>
      <c r="B717" s="105" t="s">
        <v>1872</v>
      </c>
      <c r="C717" s="105" t="s">
        <v>1873</v>
      </c>
      <c r="D717" s="105"/>
    </row>
    <row r="718" spans="1:4" ht="22.5" customHeight="1">
      <c r="A718" s="105">
        <v>717</v>
      </c>
      <c r="B718" s="105" t="s">
        <v>1874</v>
      </c>
      <c r="C718" s="105" t="s">
        <v>1875</v>
      </c>
      <c r="D718" s="105"/>
    </row>
    <row r="719" spans="1:4" ht="22.5" customHeight="1">
      <c r="A719" s="105">
        <v>718</v>
      </c>
      <c r="B719" s="105" t="s">
        <v>1876</v>
      </c>
      <c r="C719" s="105" t="s">
        <v>1877</v>
      </c>
      <c r="D719" s="105"/>
    </row>
    <row r="720" spans="1:4" ht="22.5" customHeight="1">
      <c r="A720" s="105">
        <v>719</v>
      </c>
      <c r="B720" s="105" t="s">
        <v>1878</v>
      </c>
      <c r="C720" s="105" t="s">
        <v>1879</v>
      </c>
      <c r="D720" s="105"/>
    </row>
    <row r="721" spans="1:4" ht="22.5" customHeight="1">
      <c r="A721" s="105">
        <v>720</v>
      </c>
      <c r="B721" s="105" t="s">
        <v>1880</v>
      </c>
      <c r="C721" s="105" t="s">
        <v>1881</v>
      </c>
      <c r="D721" s="105"/>
    </row>
    <row r="722" spans="1:4" ht="22.5" customHeight="1">
      <c r="A722" s="105">
        <v>721</v>
      </c>
      <c r="B722" s="105" t="s">
        <v>1882</v>
      </c>
      <c r="C722" s="105" t="s">
        <v>1883</v>
      </c>
      <c r="D722" s="105"/>
    </row>
    <row r="723" spans="1:4" ht="22.5" customHeight="1">
      <c r="A723" s="105">
        <v>722</v>
      </c>
      <c r="B723" s="105" t="s">
        <v>1884</v>
      </c>
      <c r="C723" s="105" t="s">
        <v>1885</v>
      </c>
      <c r="D723" s="105"/>
    </row>
    <row r="724" spans="1:4" ht="22.5" customHeight="1">
      <c r="A724" s="105">
        <v>723</v>
      </c>
      <c r="B724" s="105" t="s">
        <v>1886</v>
      </c>
      <c r="C724" s="105" t="s">
        <v>1887</v>
      </c>
      <c r="D724" s="105"/>
    </row>
    <row r="725" spans="1:4" ht="22.5" customHeight="1">
      <c r="A725" s="105">
        <v>724</v>
      </c>
      <c r="B725" s="105" t="s">
        <v>1888</v>
      </c>
      <c r="C725" s="105" t="s">
        <v>1889</v>
      </c>
      <c r="D725" s="105"/>
    </row>
    <row r="726" spans="1:4" ht="22.5" customHeight="1">
      <c r="A726" s="105">
        <v>725</v>
      </c>
      <c r="B726" s="105" t="s">
        <v>1890</v>
      </c>
      <c r="C726" s="105" t="s">
        <v>1891</v>
      </c>
      <c r="D726" s="105"/>
    </row>
    <row r="727" spans="1:4" ht="22.5" customHeight="1">
      <c r="A727" s="105">
        <v>726</v>
      </c>
      <c r="B727" s="105" t="s">
        <v>1892</v>
      </c>
      <c r="C727" s="105" t="s">
        <v>1893</v>
      </c>
      <c r="D727" s="105"/>
    </row>
    <row r="728" spans="1:4" ht="22.5" customHeight="1">
      <c r="A728" s="105">
        <v>727</v>
      </c>
      <c r="B728" s="105" t="s">
        <v>1894</v>
      </c>
      <c r="C728" s="105" t="s">
        <v>1895</v>
      </c>
      <c r="D728" s="105"/>
    </row>
    <row r="729" spans="1:4" ht="22.5" customHeight="1">
      <c r="A729" s="105">
        <v>728</v>
      </c>
      <c r="B729" s="105" t="s">
        <v>1896</v>
      </c>
      <c r="C729" s="105" t="s">
        <v>1897</v>
      </c>
      <c r="D729" s="105"/>
    </row>
    <row r="730" spans="1:4" ht="22.5" customHeight="1">
      <c r="A730" s="105">
        <v>729</v>
      </c>
      <c r="B730" s="105" t="s">
        <v>1898</v>
      </c>
      <c r="C730" s="105" t="s">
        <v>1899</v>
      </c>
      <c r="D730" s="105"/>
    </row>
    <row r="731" spans="1:4" ht="22.5" customHeight="1">
      <c r="A731" s="105">
        <v>730</v>
      </c>
      <c r="B731" s="105" t="s">
        <v>1900</v>
      </c>
      <c r="C731" s="105" t="s">
        <v>1901</v>
      </c>
      <c r="D731" s="105"/>
    </row>
    <row r="732" spans="1:4" ht="22.5" customHeight="1">
      <c r="A732" s="105">
        <v>731</v>
      </c>
      <c r="B732" s="105" t="s">
        <v>1902</v>
      </c>
      <c r="C732" s="105" t="s">
        <v>1903</v>
      </c>
      <c r="D732" s="105"/>
    </row>
    <row r="733" spans="1:4" ht="22.5" customHeight="1">
      <c r="A733" s="105">
        <v>732</v>
      </c>
      <c r="B733" s="105" t="s">
        <v>1904</v>
      </c>
      <c r="C733" s="105" t="s">
        <v>1905</v>
      </c>
      <c r="D733" s="105"/>
    </row>
    <row r="734" spans="1:4" ht="22.5" customHeight="1">
      <c r="A734" s="105">
        <v>733</v>
      </c>
      <c r="B734" s="105" t="s">
        <v>1906</v>
      </c>
      <c r="C734" s="105" t="s">
        <v>1907</v>
      </c>
      <c r="D734" s="105"/>
    </row>
    <row r="735" spans="1:4" ht="22.5" customHeight="1">
      <c r="A735" s="105">
        <v>734</v>
      </c>
      <c r="B735" s="105" t="s">
        <v>1908</v>
      </c>
      <c r="C735" s="105" t="s">
        <v>1909</v>
      </c>
      <c r="D735" s="105"/>
    </row>
    <row r="736" spans="1:4" ht="22.5" customHeight="1">
      <c r="A736" s="105">
        <v>735</v>
      </c>
      <c r="B736" s="105" t="s">
        <v>1910</v>
      </c>
      <c r="C736" s="105" t="s">
        <v>1911</v>
      </c>
      <c r="D736" s="105"/>
    </row>
    <row r="737" spans="1:4" ht="22.5" customHeight="1">
      <c r="A737" s="105">
        <v>736</v>
      </c>
      <c r="B737" s="105" t="s">
        <v>1912</v>
      </c>
      <c r="C737" s="105" t="s">
        <v>1913</v>
      </c>
      <c r="D737" s="105"/>
    </row>
    <row r="738" spans="1:4" ht="22.5" customHeight="1">
      <c r="A738" s="105">
        <v>737</v>
      </c>
      <c r="B738" s="105" t="s">
        <v>1914</v>
      </c>
      <c r="C738" s="105" t="s">
        <v>1915</v>
      </c>
      <c r="D738" s="105"/>
    </row>
    <row r="739" spans="1:4" ht="22.5" customHeight="1">
      <c r="A739" s="105">
        <v>738</v>
      </c>
      <c r="B739" s="105" t="s">
        <v>1916</v>
      </c>
      <c r="C739" s="105" t="s">
        <v>1917</v>
      </c>
      <c r="D739" s="105"/>
    </row>
    <row r="740" spans="1:4" ht="22.5" customHeight="1">
      <c r="A740" s="105">
        <v>739</v>
      </c>
      <c r="B740" s="105" t="s">
        <v>1918</v>
      </c>
      <c r="C740" s="105" t="s">
        <v>1919</v>
      </c>
      <c r="D740" s="105"/>
    </row>
    <row r="741" spans="1:4" ht="22.5" customHeight="1">
      <c r="A741" s="105">
        <v>740</v>
      </c>
      <c r="B741" s="105" t="s">
        <v>1920</v>
      </c>
      <c r="C741" s="105" t="s">
        <v>1921</v>
      </c>
      <c r="D741" s="105"/>
    </row>
    <row r="742" spans="1:4" ht="22.5" customHeight="1">
      <c r="A742" s="105">
        <v>741</v>
      </c>
      <c r="B742" s="105" t="s">
        <v>1922</v>
      </c>
      <c r="C742" s="105" t="s">
        <v>1923</v>
      </c>
      <c r="D742" s="105"/>
    </row>
    <row r="743" spans="1:4" ht="22.5" customHeight="1">
      <c r="A743" s="105">
        <v>742</v>
      </c>
      <c r="B743" s="105" t="s">
        <v>1924</v>
      </c>
      <c r="C743" s="105" t="s">
        <v>1925</v>
      </c>
      <c r="D743" s="105"/>
    </row>
    <row r="744" spans="1:4" ht="22.5" customHeight="1">
      <c r="A744" s="105">
        <v>743</v>
      </c>
      <c r="B744" s="105" t="s">
        <v>1926</v>
      </c>
      <c r="C744" s="105" t="s">
        <v>1927</v>
      </c>
      <c r="D744" s="105"/>
    </row>
    <row r="745" spans="1:4" ht="22.5" customHeight="1">
      <c r="A745" s="105">
        <v>744</v>
      </c>
      <c r="B745" s="105" t="s">
        <v>1928</v>
      </c>
      <c r="C745" s="105" t="s">
        <v>1929</v>
      </c>
      <c r="D745" s="105"/>
    </row>
    <row r="746" spans="1:4" ht="22.5" customHeight="1">
      <c r="A746" s="105">
        <v>745</v>
      </c>
      <c r="B746" s="105" t="s">
        <v>1930</v>
      </c>
      <c r="C746" s="105" t="s">
        <v>1931</v>
      </c>
      <c r="D746" s="105"/>
    </row>
    <row r="747" spans="1:4" ht="22.5" customHeight="1">
      <c r="A747" s="105">
        <v>746</v>
      </c>
      <c r="B747" s="105" t="s">
        <v>1932</v>
      </c>
      <c r="C747" s="105" t="s">
        <v>1933</v>
      </c>
      <c r="D747" s="105"/>
    </row>
    <row r="748" spans="1:4" ht="22.5" customHeight="1">
      <c r="A748" s="105">
        <v>747</v>
      </c>
      <c r="B748" s="105" t="s">
        <v>1934</v>
      </c>
      <c r="C748" s="105" t="s">
        <v>1935</v>
      </c>
      <c r="D748" s="105"/>
    </row>
    <row r="749" spans="1:4" ht="22.5" customHeight="1">
      <c r="A749" s="105">
        <v>748</v>
      </c>
      <c r="B749" s="105" t="s">
        <v>1936</v>
      </c>
      <c r="C749" s="105" t="s">
        <v>1937</v>
      </c>
      <c r="D749" s="105"/>
    </row>
    <row r="750" spans="1:4" ht="22.5" customHeight="1">
      <c r="A750" s="105">
        <v>749</v>
      </c>
      <c r="B750" s="105" t="s">
        <v>1938</v>
      </c>
      <c r="C750" s="105" t="s">
        <v>1939</v>
      </c>
      <c r="D750" s="105"/>
    </row>
    <row r="751" spans="1:4" ht="22.5" customHeight="1">
      <c r="A751" s="105">
        <v>750</v>
      </c>
      <c r="B751" s="105" t="s">
        <v>1940</v>
      </c>
      <c r="C751" s="105" t="s">
        <v>1941</v>
      </c>
      <c r="D751" s="105"/>
    </row>
    <row r="752" spans="1:4" ht="22.5" customHeight="1">
      <c r="A752" s="105">
        <v>751</v>
      </c>
      <c r="B752" s="105" t="s">
        <v>1942</v>
      </c>
      <c r="C752" s="105" t="s">
        <v>1943</v>
      </c>
      <c r="D752" s="105"/>
    </row>
    <row r="753" spans="1:4" ht="22.5" customHeight="1">
      <c r="A753" s="105">
        <v>752</v>
      </c>
      <c r="B753" s="105" t="s">
        <v>1944</v>
      </c>
      <c r="C753" s="105" t="s">
        <v>1945</v>
      </c>
      <c r="D753" s="105"/>
    </row>
    <row r="754" spans="1:4" ht="22.5" customHeight="1">
      <c r="A754" s="105">
        <v>753</v>
      </c>
      <c r="B754" s="105" t="s">
        <v>1946</v>
      </c>
      <c r="C754" s="105" t="s">
        <v>1947</v>
      </c>
      <c r="D754" s="105"/>
    </row>
    <row r="755" spans="1:4" ht="22.5" customHeight="1">
      <c r="A755" s="105">
        <v>754</v>
      </c>
      <c r="B755" s="105" t="s">
        <v>1948</v>
      </c>
      <c r="C755" s="105" t="s">
        <v>1949</v>
      </c>
      <c r="D755" s="105"/>
    </row>
    <row r="756" spans="1:4" ht="22.5" customHeight="1">
      <c r="A756" s="105">
        <v>755</v>
      </c>
      <c r="B756" s="105" t="s">
        <v>1623</v>
      </c>
      <c r="C756" s="105" t="s">
        <v>1950</v>
      </c>
      <c r="D756" s="105"/>
    </row>
    <row r="757" spans="1:4" ht="22.5" customHeight="1">
      <c r="A757" s="105">
        <v>756</v>
      </c>
      <c r="B757" s="105" t="s">
        <v>1951</v>
      </c>
      <c r="C757" s="105" t="s">
        <v>1952</v>
      </c>
      <c r="D757" s="105"/>
    </row>
    <row r="758" spans="1:4" ht="22.5" customHeight="1">
      <c r="A758" s="105">
        <v>757</v>
      </c>
      <c r="B758" s="105" t="s">
        <v>1953</v>
      </c>
      <c r="C758" s="105" t="s">
        <v>1954</v>
      </c>
      <c r="D758" s="105"/>
    </row>
    <row r="759" spans="1:4" ht="22.5" customHeight="1">
      <c r="A759" s="105">
        <v>758</v>
      </c>
      <c r="B759" s="105" t="s">
        <v>1955</v>
      </c>
      <c r="C759" s="105" t="s">
        <v>1956</v>
      </c>
      <c r="D759" s="105"/>
    </row>
    <row r="760" spans="1:4" ht="22.5" customHeight="1">
      <c r="A760" s="105">
        <v>759</v>
      </c>
      <c r="B760" s="105" t="s">
        <v>1957</v>
      </c>
      <c r="C760" s="105" t="s">
        <v>1958</v>
      </c>
      <c r="D760" s="105"/>
    </row>
    <row r="761" spans="1:4" ht="22.5" customHeight="1">
      <c r="A761" s="105">
        <v>760</v>
      </c>
      <c r="B761" s="105" t="s">
        <v>1959</v>
      </c>
      <c r="C761" s="105" t="s">
        <v>1960</v>
      </c>
      <c r="D761" s="105"/>
    </row>
    <row r="762" spans="1:4" ht="22.5" customHeight="1">
      <c r="A762" s="105">
        <v>761</v>
      </c>
      <c r="B762" s="105" t="s">
        <v>1961</v>
      </c>
      <c r="C762" s="105" t="s">
        <v>1962</v>
      </c>
      <c r="D762" s="105"/>
    </row>
    <row r="763" spans="1:4" ht="22.5" customHeight="1">
      <c r="A763" s="105">
        <v>762</v>
      </c>
      <c r="B763" s="105" t="s">
        <v>1963</v>
      </c>
      <c r="C763" s="105" t="s">
        <v>1964</v>
      </c>
      <c r="D763" s="105"/>
    </row>
    <row r="764" spans="1:4" ht="22.5" customHeight="1">
      <c r="A764" s="105">
        <v>763</v>
      </c>
      <c r="B764" s="105" t="s">
        <v>1965</v>
      </c>
      <c r="C764" s="105" t="s">
        <v>1966</v>
      </c>
      <c r="D764" s="105"/>
    </row>
    <row r="765" spans="1:4" ht="22.5" customHeight="1">
      <c r="A765" s="105">
        <v>764</v>
      </c>
      <c r="B765" s="105" t="s">
        <v>1967</v>
      </c>
      <c r="C765" s="105" t="s">
        <v>1968</v>
      </c>
      <c r="D765" s="105"/>
    </row>
    <row r="766" spans="1:4" ht="22.5" customHeight="1">
      <c r="A766" s="105">
        <v>765</v>
      </c>
      <c r="B766" s="105" t="s">
        <v>1969</v>
      </c>
      <c r="C766" s="105" t="s">
        <v>1970</v>
      </c>
      <c r="D766" s="105"/>
    </row>
    <row r="767" spans="1:4" ht="22.5" customHeight="1">
      <c r="A767" s="105">
        <v>766</v>
      </c>
      <c r="B767" s="105" t="s">
        <v>1971</v>
      </c>
      <c r="C767" s="105" t="s">
        <v>1972</v>
      </c>
      <c r="D767" s="105"/>
    </row>
    <row r="768" spans="1:4" ht="22.5" customHeight="1">
      <c r="A768" s="105">
        <v>767</v>
      </c>
      <c r="B768" s="105" t="s">
        <v>1973</v>
      </c>
      <c r="C768" s="105" t="s">
        <v>1974</v>
      </c>
      <c r="D768" s="105"/>
    </row>
    <row r="769" spans="1:4" ht="22.5" customHeight="1">
      <c r="A769" s="105">
        <v>768</v>
      </c>
      <c r="B769" s="105" t="s">
        <v>1975</v>
      </c>
      <c r="C769" s="105" t="s">
        <v>1976</v>
      </c>
      <c r="D769" s="105"/>
    </row>
    <row r="770" spans="1:4" ht="22.5" customHeight="1">
      <c r="A770" s="105">
        <v>769</v>
      </c>
      <c r="B770" s="105" t="s">
        <v>1977</v>
      </c>
      <c r="C770" s="105" t="s">
        <v>1978</v>
      </c>
      <c r="D770" s="105"/>
    </row>
    <row r="771" spans="1:4" ht="22.5" customHeight="1">
      <c r="A771" s="105">
        <v>770</v>
      </c>
      <c r="B771" s="105" t="s">
        <v>1979</v>
      </c>
      <c r="C771" s="105" t="s">
        <v>1980</v>
      </c>
      <c r="D771" s="105"/>
    </row>
    <row r="772" spans="1:4" ht="22.5" customHeight="1">
      <c r="A772" s="105">
        <v>771</v>
      </c>
      <c r="B772" s="105" t="s">
        <v>1981</v>
      </c>
      <c r="C772" s="105" t="s">
        <v>1982</v>
      </c>
      <c r="D772" s="105"/>
    </row>
    <row r="773" spans="1:4" ht="22.5" customHeight="1">
      <c r="A773" s="105">
        <v>772</v>
      </c>
      <c r="B773" s="105" t="s">
        <v>1983</v>
      </c>
      <c r="C773" s="105" t="s">
        <v>1984</v>
      </c>
      <c r="D773" s="105"/>
    </row>
    <row r="774" spans="1:4" ht="22.5" customHeight="1">
      <c r="A774" s="105">
        <v>773</v>
      </c>
      <c r="B774" s="105" t="s">
        <v>1985</v>
      </c>
      <c r="C774" s="105" t="s">
        <v>1986</v>
      </c>
      <c r="D774" s="105"/>
    </row>
    <row r="775" spans="1:4" ht="22.5" customHeight="1">
      <c r="A775" s="105">
        <v>774</v>
      </c>
      <c r="B775" s="105" t="s">
        <v>1987</v>
      </c>
      <c r="C775" s="105" t="s">
        <v>1988</v>
      </c>
      <c r="D775" s="105"/>
    </row>
    <row r="776" spans="1:4" ht="22.5" customHeight="1">
      <c r="A776" s="105">
        <v>775</v>
      </c>
      <c r="B776" s="105" t="s">
        <v>1989</v>
      </c>
      <c r="C776" s="105" t="s">
        <v>1990</v>
      </c>
      <c r="D776" s="105"/>
    </row>
    <row r="777" spans="1:4" ht="22.5" customHeight="1">
      <c r="A777" s="105">
        <v>776</v>
      </c>
      <c r="B777" s="105" t="s">
        <v>1991</v>
      </c>
      <c r="C777" s="105" t="s">
        <v>1992</v>
      </c>
      <c r="D777" s="105"/>
    </row>
    <row r="778" spans="1:4" ht="22.5" customHeight="1">
      <c r="A778" s="105">
        <v>777</v>
      </c>
      <c r="B778" s="105" t="s">
        <v>1993</v>
      </c>
      <c r="C778" s="105" t="s">
        <v>1994</v>
      </c>
      <c r="D778" s="105"/>
    </row>
    <row r="779" spans="1:4" ht="22.5" customHeight="1">
      <c r="A779" s="105">
        <v>778</v>
      </c>
      <c r="B779" s="105" t="s">
        <v>1995</v>
      </c>
      <c r="C779" s="105" t="s">
        <v>1996</v>
      </c>
      <c r="D779" s="105"/>
    </row>
    <row r="780" spans="1:4" ht="22.5" customHeight="1">
      <c r="A780" s="105">
        <v>779</v>
      </c>
      <c r="B780" s="105" t="s">
        <v>1433</v>
      </c>
      <c r="C780" s="105" t="s">
        <v>1997</v>
      </c>
      <c r="D780" s="105"/>
    </row>
    <row r="781" spans="1:4" ht="22.5" customHeight="1">
      <c r="A781" s="105">
        <v>780</v>
      </c>
      <c r="B781" s="105" t="s">
        <v>1998</v>
      </c>
      <c r="C781" s="105" t="s">
        <v>1999</v>
      </c>
      <c r="D781" s="105"/>
    </row>
    <row r="782" spans="1:4" ht="22.5" customHeight="1">
      <c r="A782" s="105">
        <v>781</v>
      </c>
      <c r="B782" s="105" t="s">
        <v>2000</v>
      </c>
      <c r="C782" s="105" t="s">
        <v>2001</v>
      </c>
      <c r="D782" s="105"/>
    </row>
    <row r="783" spans="1:4" ht="22.5" customHeight="1">
      <c r="A783" s="105">
        <v>782</v>
      </c>
      <c r="B783" s="105" t="s">
        <v>2002</v>
      </c>
      <c r="C783" s="105" t="s">
        <v>2003</v>
      </c>
      <c r="D783" s="105"/>
    </row>
    <row r="784" spans="1:4" ht="22.5" customHeight="1">
      <c r="A784" s="105">
        <v>783</v>
      </c>
      <c r="B784" s="105" t="s">
        <v>2004</v>
      </c>
      <c r="C784" s="105" t="s">
        <v>2005</v>
      </c>
      <c r="D784" s="105"/>
    </row>
    <row r="785" spans="1:4" ht="22.5" customHeight="1">
      <c r="A785" s="105">
        <v>784</v>
      </c>
      <c r="B785" s="105" t="s">
        <v>2006</v>
      </c>
      <c r="C785" s="105" t="s">
        <v>2007</v>
      </c>
      <c r="D785" s="105"/>
    </row>
    <row r="786" spans="1:4" ht="22.5" customHeight="1">
      <c r="A786" s="105">
        <v>785</v>
      </c>
      <c r="B786" s="105" t="s">
        <v>2008</v>
      </c>
      <c r="C786" s="105" t="s">
        <v>2009</v>
      </c>
      <c r="D786" s="105"/>
    </row>
    <row r="787" spans="1:4" ht="22.5" customHeight="1">
      <c r="A787" s="105">
        <v>786</v>
      </c>
      <c r="B787" s="105" t="s">
        <v>2010</v>
      </c>
      <c r="C787" s="105" t="s">
        <v>2011</v>
      </c>
      <c r="D787" s="105"/>
    </row>
    <row r="788" spans="1:4" ht="22.5" customHeight="1">
      <c r="A788" s="105">
        <v>787</v>
      </c>
      <c r="B788" s="105" t="s">
        <v>2012</v>
      </c>
      <c r="C788" s="105" t="s">
        <v>2013</v>
      </c>
      <c r="D788" s="105"/>
    </row>
    <row r="789" spans="1:4" ht="22.5" customHeight="1">
      <c r="A789" s="105">
        <v>788</v>
      </c>
      <c r="B789" s="105" t="s">
        <v>2014</v>
      </c>
      <c r="C789" s="105" t="s">
        <v>2015</v>
      </c>
      <c r="D789" s="105"/>
    </row>
    <row r="790" spans="1:4" ht="22.5" customHeight="1">
      <c r="A790" s="105">
        <v>789</v>
      </c>
      <c r="B790" s="105" t="s">
        <v>2016</v>
      </c>
      <c r="C790" s="105" t="s">
        <v>2017</v>
      </c>
      <c r="D790" s="105"/>
    </row>
    <row r="791" spans="1:4" ht="22.5" customHeight="1">
      <c r="A791" s="105">
        <v>790</v>
      </c>
      <c r="B791" s="105" t="s">
        <v>2018</v>
      </c>
      <c r="C791" s="105" t="s">
        <v>2019</v>
      </c>
      <c r="D791" s="105"/>
    </row>
    <row r="792" spans="1:4" ht="22.5" customHeight="1">
      <c r="A792" s="105">
        <v>791</v>
      </c>
      <c r="B792" s="105" t="s">
        <v>2020</v>
      </c>
      <c r="C792" s="105" t="s">
        <v>2021</v>
      </c>
      <c r="D792" s="105"/>
    </row>
    <row r="793" spans="1:4" ht="22.5" customHeight="1">
      <c r="A793" s="105">
        <v>792</v>
      </c>
      <c r="B793" s="105" t="s">
        <v>2022</v>
      </c>
      <c r="C793" s="105" t="s">
        <v>2023</v>
      </c>
      <c r="D793" s="105"/>
    </row>
    <row r="794" spans="1:4" ht="22.5" customHeight="1">
      <c r="A794" s="105">
        <v>793</v>
      </c>
      <c r="B794" s="105" t="s">
        <v>2024</v>
      </c>
      <c r="C794" s="105" t="s">
        <v>2025</v>
      </c>
      <c r="D794" s="105"/>
    </row>
    <row r="795" spans="1:4" ht="22.5" customHeight="1">
      <c r="A795" s="105">
        <v>794</v>
      </c>
      <c r="B795" s="105" t="s">
        <v>2026</v>
      </c>
      <c r="C795" s="105" t="s">
        <v>2027</v>
      </c>
      <c r="D795" s="105"/>
    </row>
    <row r="796" spans="1:4" ht="22.5" customHeight="1">
      <c r="A796" s="105">
        <v>795</v>
      </c>
      <c r="B796" s="105" t="s">
        <v>2028</v>
      </c>
      <c r="C796" s="105" t="s">
        <v>2029</v>
      </c>
      <c r="D796" s="105"/>
    </row>
    <row r="797" spans="1:4" ht="22.5" customHeight="1">
      <c r="A797" s="105">
        <v>796</v>
      </c>
      <c r="B797" s="105" t="s">
        <v>2030</v>
      </c>
      <c r="C797" s="105" t="s">
        <v>2031</v>
      </c>
      <c r="D797" s="105"/>
    </row>
    <row r="798" spans="1:4" ht="22.5" customHeight="1">
      <c r="A798" s="105">
        <v>797</v>
      </c>
      <c r="B798" s="105" t="s">
        <v>2032</v>
      </c>
      <c r="C798" s="105" t="s">
        <v>2033</v>
      </c>
      <c r="D798" s="105"/>
    </row>
    <row r="799" spans="1:4" ht="22.5" customHeight="1">
      <c r="A799" s="105">
        <v>798</v>
      </c>
      <c r="B799" s="105" t="s">
        <v>2034</v>
      </c>
      <c r="C799" s="105" t="s">
        <v>2035</v>
      </c>
      <c r="D799" s="105"/>
    </row>
    <row r="800" spans="1:4" ht="22.5" customHeight="1">
      <c r="A800" s="105">
        <v>799</v>
      </c>
      <c r="B800" s="105" t="s">
        <v>2036</v>
      </c>
      <c r="C800" s="105" t="s">
        <v>2037</v>
      </c>
      <c r="D800" s="105"/>
    </row>
    <row r="801" spans="1:4" ht="22.5" customHeight="1">
      <c r="A801" s="105">
        <v>800</v>
      </c>
      <c r="B801" s="105" t="s">
        <v>2038</v>
      </c>
      <c r="C801" s="105" t="s">
        <v>2039</v>
      </c>
      <c r="D801" s="105"/>
    </row>
    <row r="802" spans="1:4" ht="22.5" customHeight="1">
      <c r="A802" s="105">
        <v>801</v>
      </c>
      <c r="B802" s="105" t="s">
        <v>2040</v>
      </c>
      <c r="C802" s="105" t="s">
        <v>2041</v>
      </c>
      <c r="D802" s="105"/>
    </row>
    <row r="803" spans="1:4" ht="22.5" customHeight="1">
      <c r="A803" s="105">
        <v>802</v>
      </c>
      <c r="B803" s="105" t="s">
        <v>2042</v>
      </c>
      <c r="C803" s="105" t="s">
        <v>2043</v>
      </c>
      <c r="D803" s="105"/>
    </row>
    <row r="804" spans="1:4" ht="22.5" customHeight="1">
      <c r="A804" s="105">
        <v>803</v>
      </c>
      <c r="B804" s="105" t="s">
        <v>2044</v>
      </c>
      <c r="C804" s="105" t="s">
        <v>2045</v>
      </c>
      <c r="D804" s="105"/>
    </row>
    <row r="805" spans="1:4" ht="22.5" customHeight="1">
      <c r="A805" s="105">
        <v>804</v>
      </c>
      <c r="B805" s="105" t="s">
        <v>2046</v>
      </c>
      <c r="C805" s="105" t="s">
        <v>2047</v>
      </c>
      <c r="D805" s="105"/>
    </row>
    <row r="806" spans="1:4" ht="22.5" customHeight="1">
      <c r="A806" s="105">
        <v>805</v>
      </c>
      <c r="B806" s="105" t="s">
        <v>2048</v>
      </c>
      <c r="C806" s="105" t="s">
        <v>2049</v>
      </c>
      <c r="D806" s="105"/>
    </row>
    <row r="807" spans="1:4" ht="22.5" customHeight="1">
      <c r="A807" s="105">
        <v>806</v>
      </c>
      <c r="B807" s="105" t="s">
        <v>2050</v>
      </c>
      <c r="C807" s="105" t="s">
        <v>2051</v>
      </c>
      <c r="D807" s="105"/>
    </row>
    <row r="808" spans="1:4" ht="22.5" customHeight="1">
      <c r="A808" s="105">
        <v>807</v>
      </c>
      <c r="B808" s="105" t="s">
        <v>2052</v>
      </c>
      <c r="C808" s="105" t="s">
        <v>2053</v>
      </c>
      <c r="D808" s="105"/>
    </row>
    <row r="809" spans="1:4" ht="22.5" customHeight="1">
      <c r="A809" s="105">
        <v>808</v>
      </c>
      <c r="B809" s="105" t="s">
        <v>2054</v>
      </c>
      <c r="C809" s="105" t="s">
        <v>2055</v>
      </c>
      <c r="D809" s="105"/>
    </row>
    <row r="810" spans="1:4" ht="22.5" customHeight="1">
      <c r="A810" s="105">
        <v>809</v>
      </c>
      <c r="B810" s="105" t="s">
        <v>2056</v>
      </c>
      <c r="C810" s="105" t="s">
        <v>2057</v>
      </c>
      <c r="D810" s="105"/>
    </row>
    <row r="811" spans="1:4" ht="22.5" customHeight="1">
      <c r="A811" s="105">
        <v>810</v>
      </c>
      <c r="B811" s="105" t="s">
        <v>2058</v>
      </c>
      <c r="C811" s="105" t="s">
        <v>2059</v>
      </c>
      <c r="D811" s="105"/>
    </row>
    <row r="812" spans="1:4" ht="22.5" customHeight="1">
      <c r="A812" s="105">
        <v>811</v>
      </c>
      <c r="B812" s="105" t="s">
        <v>2060</v>
      </c>
      <c r="C812" s="105" t="s">
        <v>2061</v>
      </c>
      <c r="D812" s="105"/>
    </row>
    <row r="813" spans="1:4" ht="22.5" customHeight="1">
      <c r="A813" s="105">
        <v>812</v>
      </c>
      <c r="B813" s="105" t="s">
        <v>2062</v>
      </c>
      <c r="C813" s="105" t="s">
        <v>2063</v>
      </c>
      <c r="D813" s="105"/>
    </row>
    <row r="814" spans="1:4" ht="22.5" customHeight="1">
      <c r="A814" s="105">
        <v>813</v>
      </c>
      <c r="B814" s="105" t="s">
        <v>2064</v>
      </c>
      <c r="C814" s="105" t="s">
        <v>2065</v>
      </c>
      <c r="D814" s="105"/>
    </row>
    <row r="815" spans="1:4" ht="22.5" customHeight="1">
      <c r="A815" s="105">
        <v>814</v>
      </c>
      <c r="B815" s="105" t="s">
        <v>2066</v>
      </c>
      <c r="C815" s="105" t="s">
        <v>2067</v>
      </c>
      <c r="D815" s="105"/>
    </row>
    <row r="816" spans="1:4" ht="22.5" customHeight="1">
      <c r="A816" s="105">
        <v>815</v>
      </c>
      <c r="B816" s="105" t="s">
        <v>2068</v>
      </c>
      <c r="C816" s="105" t="s">
        <v>2069</v>
      </c>
      <c r="D816" s="105"/>
    </row>
    <row r="817" spans="1:4" ht="22.5" customHeight="1">
      <c r="A817" s="105">
        <v>816</v>
      </c>
      <c r="B817" s="105" t="s">
        <v>2070</v>
      </c>
      <c r="C817" s="105" t="s">
        <v>2071</v>
      </c>
      <c r="D817" s="105"/>
    </row>
    <row r="818" spans="1:4" ht="22.5" customHeight="1">
      <c r="A818" s="105">
        <v>817</v>
      </c>
      <c r="B818" s="105" t="s">
        <v>2072</v>
      </c>
      <c r="C818" s="105" t="s">
        <v>2073</v>
      </c>
      <c r="D818" s="105"/>
    </row>
    <row r="819" spans="1:4" ht="22.5" customHeight="1">
      <c r="A819" s="105">
        <v>818</v>
      </c>
      <c r="B819" s="105" t="s">
        <v>2074</v>
      </c>
      <c r="C819" s="105" t="s">
        <v>2075</v>
      </c>
      <c r="D819" s="105"/>
    </row>
    <row r="820" spans="1:4" ht="22.5" customHeight="1">
      <c r="A820" s="105">
        <v>819</v>
      </c>
      <c r="B820" s="105" t="s">
        <v>2076</v>
      </c>
      <c r="C820" s="105" t="s">
        <v>2077</v>
      </c>
      <c r="D820" s="105"/>
    </row>
    <row r="821" spans="1:4" ht="22.5" customHeight="1">
      <c r="A821" s="105">
        <v>820</v>
      </c>
      <c r="B821" s="105" t="s">
        <v>2078</v>
      </c>
      <c r="C821" s="105" t="s">
        <v>2079</v>
      </c>
      <c r="D821" s="105"/>
    </row>
    <row r="822" spans="1:4" ht="22.5" customHeight="1">
      <c r="A822" s="105">
        <v>821</v>
      </c>
      <c r="B822" s="105" t="s">
        <v>2080</v>
      </c>
      <c r="C822" s="105" t="s">
        <v>2081</v>
      </c>
      <c r="D822" s="105"/>
    </row>
    <row r="823" spans="1:4" ht="22.5" customHeight="1">
      <c r="A823" s="105">
        <v>822</v>
      </c>
      <c r="B823" s="105" t="s">
        <v>2082</v>
      </c>
      <c r="C823" s="105" t="s">
        <v>2083</v>
      </c>
      <c r="D823" s="105"/>
    </row>
    <row r="824" spans="1:4" ht="22.5" customHeight="1">
      <c r="A824" s="105">
        <v>823</v>
      </c>
      <c r="B824" s="105" t="s">
        <v>2084</v>
      </c>
      <c r="C824" s="105" t="s">
        <v>2085</v>
      </c>
      <c r="D824" s="105"/>
    </row>
    <row r="825" spans="1:4" ht="22.5" customHeight="1">
      <c r="A825" s="105">
        <v>824</v>
      </c>
      <c r="B825" s="105" t="s">
        <v>2086</v>
      </c>
      <c r="C825" s="105" t="s">
        <v>2087</v>
      </c>
      <c r="D825" s="105"/>
    </row>
    <row r="826" spans="1:4" ht="22.5" customHeight="1">
      <c r="A826" s="105">
        <v>825</v>
      </c>
      <c r="B826" s="105" t="s">
        <v>2088</v>
      </c>
      <c r="C826" s="105" t="s">
        <v>2089</v>
      </c>
      <c r="D826" s="105"/>
    </row>
    <row r="827" spans="1:4" ht="22.5" customHeight="1">
      <c r="A827" s="105">
        <v>826</v>
      </c>
      <c r="B827" s="105" t="s">
        <v>2090</v>
      </c>
      <c r="C827" s="105" t="s">
        <v>2091</v>
      </c>
      <c r="D827" s="105"/>
    </row>
    <row r="828" spans="1:4" ht="22.5" customHeight="1">
      <c r="A828" s="105">
        <v>827</v>
      </c>
      <c r="B828" s="105" t="s">
        <v>2092</v>
      </c>
      <c r="C828" s="105" t="s">
        <v>2093</v>
      </c>
      <c r="D828" s="105"/>
    </row>
    <row r="829" spans="1:4" ht="22.5" customHeight="1">
      <c r="A829" s="105">
        <v>828</v>
      </c>
      <c r="B829" s="105" t="s">
        <v>2094</v>
      </c>
      <c r="C829" s="105" t="s">
        <v>2095</v>
      </c>
      <c r="D829" s="105"/>
    </row>
    <row r="830" spans="1:4" ht="22.5" customHeight="1">
      <c r="A830" s="105">
        <v>829</v>
      </c>
      <c r="B830" s="105" t="s">
        <v>2096</v>
      </c>
      <c r="C830" s="105" t="s">
        <v>2097</v>
      </c>
      <c r="D830" s="105"/>
    </row>
    <row r="831" spans="1:4" ht="22.5" customHeight="1">
      <c r="A831" s="105">
        <v>830</v>
      </c>
      <c r="B831" s="105" t="s">
        <v>2098</v>
      </c>
      <c r="C831" s="105" t="s">
        <v>2099</v>
      </c>
      <c r="D831" s="105"/>
    </row>
    <row r="832" spans="1:4" ht="22.5" customHeight="1">
      <c r="A832" s="105">
        <v>831</v>
      </c>
      <c r="B832" s="105" t="s">
        <v>2100</v>
      </c>
      <c r="C832" s="105" t="s">
        <v>2101</v>
      </c>
      <c r="D832" s="105"/>
    </row>
    <row r="833" spans="1:4" ht="22.5" customHeight="1">
      <c r="A833" s="105">
        <v>832</v>
      </c>
      <c r="B833" s="105" t="s">
        <v>2102</v>
      </c>
      <c r="C833" s="105" t="s">
        <v>2103</v>
      </c>
      <c r="D833" s="105"/>
    </row>
    <row r="834" spans="1:4" ht="22.5" customHeight="1">
      <c r="A834" s="105">
        <v>833</v>
      </c>
      <c r="B834" s="105" t="s">
        <v>2104</v>
      </c>
      <c r="C834" s="105" t="s">
        <v>2105</v>
      </c>
      <c r="D834" s="105"/>
    </row>
    <row r="835" spans="1:4" ht="22.5" customHeight="1">
      <c r="A835" s="105">
        <v>834</v>
      </c>
      <c r="B835" s="105" t="s">
        <v>2106</v>
      </c>
      <c r="C835" s="105" t="s">
        <v>2107</v>
      </c>
      <c r="D835" s="105"/>
    </row>
    <row r="836" spans="1:4" ht="22.5" customHeight="1">
      <c r="A836" s="105">
        <v>835</v>
      </c>
      <c r="B836" s="105" t="s">
        <v>2108</v>
      </c>
      <c r="C836" s="105" t="s">
        <v>2109</v>
      </c>
      <c r="D836" s="105"/>
    </row>
    <row r="837" spans="1:4" ht="22.5" customHeight="1">
      <c r="A837" s="105">
        <v>836</v>
      </c>
      <c r="B837" s="105" t="s">
        <v>2110</v>
      </c>
      <c r="C837" s="105" t="s">
        <v>2111</v>
      </c>
      <c r="D837" s="105"/>
    </row>
    <row r="838" spans="1:4" ht="22.5" customHeight="1">
      <c r="A838" s="105">
        <v>837</v>
      </c>
      <c r="B838" s="105" t="s">
        <v>2112</v>
      </c>
      <c r="C838" s="105" t="s">
        <v>2113</v>
      </c>
      <c r="D838" s="105"/>
    </row>
    <row r="839" spans="1:4" ht="22.5" customHeight="1">
      <c r="A839" s="105">
        <v>838</v>
      </c>
      <c r="B839" s="105" t="s">
        <v>2114</v>
      </c>
      <c r="C839" s="105" t="s">
        <v>2115</v>
      </c>
      <c r="D839" s="105"/>
    </row>
    <row r="840" spans="1:4" ht="22.5" customHeight="1">
      <c r="A840" s="105">
        <v>839</v>
      </c>
      <c r="B840" s="105" t="s">
        <v>2116</v>
      </c>
      <c r="C840" s="105" t="s">
        <v>2117</v>
      </c>
      <c r="D840" s="105"/>
    </row>
    <row r="841" spans="1:4" ht="22.5" customHeight="1">
      <c r="A841" s="105">
        <v>840</v>
      </c>
      <c r="B841" s="105" t="s">
        <v>2118</v>
      </c>
      <c r="C841" s="105" t="s">
        <v>2119</v>
      </c>
      <c r="D841" s="105"/>
    </row>
    <row r="842" spans="1:4" ht="22.5" customHeight="1">
      <c r="A842" s="105">
        <v>841</v>
      </c>
      <c r="B842" s="105" t="s">
        <v>2120</v>
      </c>
      <c r="C842" s="105" t="s">
        <v>2121</v>
      </c>
      <c r="D842" s="105"/>
    </row>
    <row r="843" spans="1:4" ht="22.5" customHeight="1">
      <c r="A843" s="105">
        <v>842</v>
      </c>
      <c r="B843" s="105" t="s">
        <v>2122</v>
      </c>
      <c r="C843" s="105" t="s">
        <v>2123</v>
      </c>
      <c r="D843" s="105"/>
    </row>
    <row r="844" spans="1:4" ht="22.5" customHeight="1">
      <c r="A844" s="105">
        <v>843</v>
      </c>
      <c r="B844" s="105" t="s">
        <v>2124</v>
      </c>
      <c r="C844" s="105" t="s">
        <v>2125</v>
      </c>
      <c r="D844" s="105"/>
    </row>
    <row r="845" spans="1:4" ht="22.5" customHeight="1">
      <c r="A845" s="105">
        <v>844</v>
      </c>
      <c r="B845" s="105" t="s">
        <v>2126</v>
      </c>
      <c r="C845" s="105" t="s">
        <v>2127</v>
      </c>
      <c r="D845" s="105"/>
    </row>
    <row r="846" spans="1:4" ht="22.5" customHeight="1">
      <c r="A846" s="105">
        <v>845</v>
      </c>
      <c r="B846" s="105" t="s">
        <v>2128</v>
      </c>
      <c r="C846" s="105" t="s">
        <v>2129</v>
      </c>
      <c r="D846" s="105"/>
    </row>
    <row r="847" spans="1:4" ht="22.5" customHeight="1">
      <c r="A847" s="105">
        <v>846</v>
      </c>
      <c r="B847" s="105" t="s">
        <v>2130</v>
      </c>
      <c r="C847" s="105" t="s">
        <v>2131</v>
      </c>
      <c r="D847" s="105"/>
    </row>
    <row r="848" spans="1:4" ht="22.5" customHeight="1">
      <c r="A848" s="105">
        <v>847</v>
      </c>
      <c r="B848" s="105" t="s">
        <v>2132</v>
      </c>
      <c r="C848" s="105" t="s">
        <v>2133</v>
      </c>
      <c r="D848" s="105"/>
    </row>
    <row r="849" spans="1:4" ht="22.5" customHeight="1">
      <c r="A849" s="105">
        <v>848</v>
      </c>
      <c r="B849" s="105" t="s">
        <v>2134</v>
      </c>
      <c r="C849" s="105" t="s">
        <v>2135</v>
      </c>
      <c r="D849" s="105"/>
    </row>
    <row r="850" spans="1:4" ht="22.5" customHeight="1">
      <c r="A850" s="105">
        <v>849</v>
      </c>
      <c r="B850" s="105" t="s">
        <v>2136</v>
      </c>
      <c r="C850" s="105" t="s">
        <v>2137</v>
      </c>
      <c r="D850" s="105"/>
    </row>
    <row r="851" spans="1:4" ht="22.5" customHeight="1">
      <c r="A851" s="105">
        <v>850</v>
      </c>
      <c r="B851" s="105" t="s">
        <v>2138</v>
      </c>
      <c r="C851" s="105" t="s">
        <v>2139</v>
      </c>
      <c r="D851" s="105"/>
    </row>
    <row r="852" spans="1:4" ht="22.5" customHeight="1">
      <c r="A852" s="105">
        <v>851</v>
      </c>
      <c r="B852" s="105" t="s">
        <v>2140</v>
      </c>
      <c r="C852" s="105" t="s">
        <v>2141</v>
      </c>
      <c r="D852" s="105"/>
    </row>
    <row r="853" spans="1:4" ht="22.5" customHeight="1">
      <c r="A853" s="105">
        <v>852</v>
      </c>
      <c r="B853" s="105" t="s">
        <v>2142</v>
      </c>
      <c r="C853" s="105" t="s">
        <v>2143</v>
      </c>
      <c r="D853" s="105"/>
    </row>
    <row r="854" spans="1:4" ht="22.5" customHeight="1">
      <c r="A854" s="105">
        <v>853</v>
      </c>
      <c r="B854" s="105" t="s">
        <v>2144</v>
      </c>
      <c r="C854" s="105" t="s">
        <v>2145</v>
      </c>
      <c r="D854" s="105"/>
    </row>
    <row r="855" spans="1:4" ht="22.5" customHeight="1">
      <c r="A855" s="105">
        <v>854</v>
      </c>
      <c r="B855" s="105" t="s">
        <v>2146</v>
      </c>
      <c r="C855" s="105" t="s">
        <v>2147</v>
      </c>
      <c r="D855" s="105"/>
    </row>
    <row r="856" spans="1:4" ht="22.5" customHeight="1">
      <c r="A856" s="105">
        <v>855</v>
      </c>
      <c r="B856" s="105" t="s">
        <v>1448</v>
      </c>
      <c r="C856" s="105" t="s">
        <v>1449</v>
      </c>
      <c r="D856" s="105"/>
    </row>
    <row r="857" spans="1:4" ht="22.5" customHeight="1">
      <c r="A857" s="105">
        <v>856</v>
      </c>
      <c r="B857" s="105" t="s">
        <v>2148</v>
      </c>
      <c r="C857" s="105" t="s">
        <v>2149</v>
      </c>
      <c r="D857" s="105"/>
    </row>
    <row r="858" spans="1:4" ht="22.5" customHeight="1">
      <c r="A858" s="105">
        <v>857</v>
      </c>
      <c r="B858" s="105" t="s">
        <v>2150</v>
      </c>
      <c r="C858" s="105" t="s">
        <v>2151</v>
      </c>
      <c r="D858" s="105"/>
    </row>
    <row r="859" spans="1:4" ht="22.5" customHeight="1">
      <c r="A859" s="105">
        <v>858</v>
      </c>
      <c r="B859" s="105" t="s">
        <v>2152</v>
      </c>
      <c r="C859" s="105" t="s">
        <v>2053</v>
      </c>
      <c r="D859" s="105"/>
    </row>
    <row r="860" spans="1:4" ht="22.5" customHeight="1">
      <c r="A860" s="105">
        <v>859</v>
      </c>
      <c r="B860" s="105" t="s">
        <v>2153</v>
      </c>
      <c r="C860" s="105" t="s">
        <v>2154</v>
      </c>
      <c r="D860" s="105"/>
    </row>
    <row r="861" spans="1:4" ht="22.5" customHeight="1">
      <c r="A861" s="105">
        <v>860</v>
      </c>
      <c r="B861" s="105" t="s">
        <v>2155</v>
      </c>
      <c r="C861" s="105" t="s">
        <v>2156</v>
      </c>
      <c r="D861" s="105"/>
    </row>
    <row r="862" spans="1:4" ht="22.5" customHeight="1">
      <c r="A862" s="105">
        <v>861</v>
      </c>
      <c r="B862" s="105" t="s">
        <v>2157</v>
      </c>
      <c r="C862" s="105" t="s">
        <v>2158</v>
      </c>
      <c r="D862" s="105"/>
    </row>
    <row r="863" spans="1:4" ht="22.5" customHeight="1">
      <c r="A863" s="105">
        <v>862</v>
      </c>
      <c r="B863" s="105" t="s">
        <v>2159</v>
      </c>
      <c r="C863" s="105" t="s">
        <v>2160</v>
      </c>
      <c r="D863" s="105"/>
    </row>
    <row r="864" spans="1:4" ht="22.5" customHeight="1">
      <c r="A864" s="105">
        <v>863</v>
      </c>
      <c r="B864" s="105" t="s">
        <v>2161</v>
      </c>
      <c r="C864" s="105" t="s">
        <v>2162</v>
      </c>
      <c r="D864" s="105"/>
    </row>
    <row r="865" spans="1:4" ht="22.5" customHeight="1">
      <c r="A865" s="105">
        <v>864</v>
      </c>
      <c r="B865" s="105" t="s">
        <v>2163</v>
      </c>
      <c r="C865" s="105" t="s">
        <v>2164</v>
      </c>
      <c r="D865" s="105"/>
    </row>
    <row r="866" spans="1:4" ht="22.5" customHeight="1">
      <c r="A866" s="105">
        <v>865</v>
      </c>
      <c r="B866" s="105" t="s">
        <v>2165</v>
      </c>
      <c r="C866" s="105" t="s">
        <v>2166</v>
      </c>
      <c r="D866" s="105"/>
    </row>
    <row r="867" spans="1:4" ht="22.5" customHeight="1">
      <c r="A867" s="105">
        <v>866</v>
      </c>
      <c r="B867" s="105" t="s">
        <v>2167</v>
      </c>
      <c r="C867" s="105" t="s">
        <v>2168</v>
      </c>
      <c r="D867" s="105"/>
    </row>
    <row r="868" spans="1:4" ht="22.5" customHeight="1">
      <c r="A868" s="105">
        <v>867</v>
      </c>
      <c r="B868" s="105" t="s">
        <v>2169</v>
      </c>
      <c r="C868" s="105" t="s">
        <v>2170</v>
      </c>
      <c r="D868" s="105"/>
    </row>
    <row r="869" spans="1:4" ht="22.5" customHeight="1">
      <c r="A869" s="105">
        <v>868</v>
      </c>
      <c r="B869" s="105" t="s">
        <v>2171</v>
      </c>
      <c r="C869" s="105" t="s">
        <v>2172</v>
      </c>
      <c r="D869" s="105"/>
    </row>
    <row r="870" spans="1:4" ht="22.5" customHeight="1">
      <c r="A870" s="105">
        <v>869</v>
      </c>
      <c r="B870" s="105" t="s">
        <v>2173</v>
      </c>
      <c r="C870" s="105" t="s">
        <v>2174</v>
      </c>
      <c r="D870" s="105"/>
    </row>
    <row r="871" spans="1:4" ht="22.5" customHeight="1">
      <c r="A871" s="105">
        <v>870</v>
      </c>
      <c r="B871" s="105" t="s">
        <v>2175</v>
      </c>
      <c r="C871" s="105" t="s">
        <v>2176</v>
      </c>
      <c r="D871" s="105"/>
    </row>
    <row r="872" spans="1:4" ht="22.5" customHeight="1">
      <c r="A872" s="105">
        <v>871</v>
      </c>
      <c r="B872" s="105" t="s">
        <v>2177</v>
      </c>
      <c r="C872" s="105" t="s">
        <v>2178</v>
      </c>
      <c r="D872" s="105"/>
    </row>
    <row r="873" spans="1:4" ht="22.5" customHeight="1">
      <c r="A873" s="105">
        <v>872</v>
      </c>
      <c r="B873" s="105" t="s">
        <v>2179</v>
      </c>
      <c r="C873" s="105" t="s">
        <v>2180</v>
      </c>
      <c r="D873" s="105"/>
    </row>
    <row r="874" spans="1:4" ht="22.5" customHeight="1">
      <c r="A874" s="105">
        <v>873</v>
      </c>
      <c r="B874" s="105" t="s">
        <v>2181</v>
      </c>
      <c r="C874" s="105" t="s">
        <v>2182</v>
      </c>
      <c r="D874" s="105"/>
    </row>
    <row r="875" spans="1:4" ht="22.5" customHeight="1">
      <c r="A875" s="105">
        <v>874</v>
      </c>
      <c r="B875" s="105" t="s">
        <v>2183</v>
      </c>
      <c r="C875" s="105" t="s">
        <v>2184</v>
      </c>
      <c r="D875" s="105"/>
    </row>
    <row r="876" spans="1:4" ht="22.5" customHeight="1">
      <c r="A876" s="105">
        <v>875</v>
      </c>
      <c r="B876" s="105" t="s">
        <v>2185</v>
      </c>
      <c r="C876" s="105" t="s">
        <v>2186</v>
      </c>
      <c r="D876" s="105"/>
    </row>
    <row r="877" spans="1:4" ht="22.5" customHeight="1">
      <c r="A877" s="105">
        <v>876</v>
      </c>
      <c r="B877" s="105" t="s">
        <v>2187</v>
      </c>
      <c r="C877" s="105" t="s">
        <v>2188</v>
      </c>
      <c r="D877" s="105"/>
    </row>
    <row r="878" spans="1:4" ht="22.5" customHeight="1">
      <c r="A878" s="105">
        <v>877</v>
      </c>
      <c r="B878" s="105" t="s">
        <v>2189</v>
      </c>
      <c r="C878" s="105" t="s">
        <v>2190</v>
      </c>
      <c r="D878" s="105"/>
    </row>
    <row r="879" spans="1:4" ht="22.5" customHeight="1">
      <c r="A879" s="105">
        <v>878</v>
      </c>
      <c r="B879" s="105" t="s">
        <v>2191</v>
      </c>
      <c r="C879" s="105" t="s">
        <v>2192</v>
      </c>
      <c r="D879" s="105"/>
    </row>
    <row r="880" spans="1:4" ht="22.5" customHeight="1">
      <c r="A880" s="105">
        <v>879</v>
      </c>
      <c r="B880" s="105" t="s">
        <v>2193</v>
      </c>
      <c r="C880" s="105" t="s">
        <v>2194</v>
      </c>
      <c r="D880" s="105"/>
    </row>
    <row r="881" spans="1:4" ht="22.5" customHeight="1">
      <c r="A881" s="105">
        <v>880</v>
      </c>
      <c r="B881" s="105" t="s">
        <v>2195</v>
      </c>
      <c r="C881" s="105" t="s">
        <v>2196</v>
      </c>
      <c r="D881" s="105"/>
    </row>
    <row r="882" spans="1:4" ht="22.5" customHeight="1">
      <c r="A882" s="105">
        <v>881</v>
      </c>
      <c r="B882" s="105" t="s">
        <v>2197</v>
      </c>
      <c r="C882" s="105" t="s">
        <v>2198</v>
      </c>
      <c r="D882" s="105"/>
    </row>
    <row r="883" spans="1:4" ht="22.5" customHeight="1">
      <c r="A883" s="105">
        <v>882</v>
      </c>
      <c r="B883" s="105" t="s">
        <v>2199</v>
      </c>
      <c r="C883" s="105" t="s">
        <v>2200</v>
      </c>
      <c r="D883" s="105"/>
    </row>
    <row r="884" spans="1:4" ht="22.5" customHeight="1">
      <c r="A884" s="105">
        <v>883</v>
      </c>
      <c r="B884" s="105" t="s">
        <v>2201</v>
      </c>
      <c r="C884" s="105" t="s">
        <v>2202</v>
      </c>
      <c r="D884" s="105"/>
    </row>
    <row r="885" spans="1:4" ht="22.5" customHeight="1">
      <c r="A885" s="105">
        <v>884</v>
      </c>
      <c r="B885" s="105" t="s">
        <v>2203</v>
      </c>
      <c r="C885" s="105" t="s">
        <v>2204</v>
      </c>
      <c r="D885" s="105"/>
    </row>
    <row r="886" spans="1:4" ht="22.5" customHeight="1">
      <c r="A886" s="105">
        <v>885</v>
      </c>
      <c r="B886" s="105" t="s">
        <v>2205</v>
      </c>
      <c r="C886" s="105" t="s">
        <v>2206</v>
      </c>
      <c r="D886" s="105"/>
    </row>
    <row r="887" spans="1:4" ht="22.5" customHeight="1">
      <c r="A887" s="105">
        <v>886</v>
      </c>
      <c r="B887" s="105" t="s">
        <v>2207</v>
      </c>
      <c r="C887" s="105" t="s">
        <v>2208</v>
      </c>
      <c r="D887" s="105"/>
    </row>
    <row r="888" spans="1:4" ht="22.5" customHeight="1">
      <c r="A888" s="105">
        <v>887</v>
      </c>
      <c r="B888" s="105" t="s">
        <v>2209</v>
      </c>
      <c r="C888" s="105" t="s">
        <v>2210</v>
      </c>
      <c r="D888" s="105"/>
    </row>
    <row r="889" spans="1:4" ht="22.5" customHeight="1">
      <c r="A889" s="105">
        <v>888</v>
      </c>
      <c r="B889" s="105" t="s">
        <v>1348</v>
      </c>
      <c r="C889" s="105" t="s">
        <v>2211</v>
      </c>
      <c r="D889" s="105"/>
    </row>
    <row r="890" spans="1:4" ht="22.5" customHeight="1">
      <c r="A890" s="105">
        <v>889</v>
      </c>
      <c r="B890" s="105" t="s">
        <v>2212</v>
      </c>
      <c r="C890" s="105" t="s">
        <v>2213</v>
      </c>
      <c r="D890" s="105"/>
    </row>
    <row r="891" spans="1:4" ht="22.5" customHeight="1">
      <c r="A891" s="105">
        <v>890</v>
      </c>
      <c r="B891" s="105" t="s">
        <v>2214</v>
      </c>
      <c r="C891" s="105" t="s">
        <v>2215</v>
      </c>
      <c r="D891" s="105"/>
    </row>
    <row r="892" spans="1:4" ht="22.5" customHeight="1">
      <c r="A892" s="105">
        <v>891</v>
      </c>
      <c r="B892" s="105" t="s">
        <v>2216</v>
      </c>
      <c r="C892" s="105" t="s">
        <v>2217</v>
      </c>
      <c r="D892" s="105"/>
    </row>
    <row r="893" spans="1:4" ht="22.5" customHeight="1">
      <c r="A893" s="105">
        <v>892</v>
      </c>
      <c r="B893" s="105" t="s">
        <v>2218</v>
      </c>
      <c r="C893" s="105" t="s">
        <v>2219</v>
      </c>
      <c r="D893" s="105"/>
    </row>
    <row r="894" spans="1:4" ht="22.5" customHeight="1">
      <c r="A894" s="105">
        <v>893</v>
      </c>
      <c r="B894" s="105" t="s">
        <v>2220</v>
      </c>
      <c r="C894" s="105" t="s">
        <v>2221</v>
      </c>
      <c r="D894" s="105"/>
    </row>
    <row r="895" spans="1:4" ht="22.5" customHeight="1">
      <c r="A895" s="105">
        <v>894</v>
      </c>
      <c r="B895" s="105" t="s">
        <v>2222</v>
      </c>
      <c r="C895" s="105" t="s">
        <v>2223</v>
      </c>
      <c r="D895" s="105"/>
    </row>
    <row r="896" spans="1:4" ht="22.5" customHeight="1">
      <c r="A896" s="105">
        <v>895</v>
      </c>
      <c r="B896" s="105" t="s">
        <v>2224</v>
      </c>
      <c r="C896" s="105" t="s">
        <v>2225</v>
      </c>
      <c r="D896" s="105"/>
    </row>
    <row r="897" spans="1:4" ht="22.5" customHeight="1">
      <c r="A897" s="105">
        <v>896</v>
      </c>
      <c r="B897" s="105" t="s">
        <v>2226</v>
      </c>
      <c r="C897" s="105" t="s">
        <v>2227</v>
      </c>
      <c r="D897" s="105"/>
    </row>
    <row r="898" spans="1:4" ht="22.5" customHeight="1">
      <c r="A898" s="105">
        <v>897</v>
      </c>
      <c r="B898" s="105" t="s">
        <v>2228</v>
      </c>
      <c r="C898" s="105" t="s">
        <v>2229</v>
      </c>
      <c r="D898" s="105"/>
    </row>
    <row r="899" spans="1:4" ht="22.5" customHeight="1">
      <c r="A899" s="105">
        <v>898</v>
      </c>
      <c r="B899" s="105" t="s">
        <v>2230</v>
      </c>
      <c r="C899" s="105" t="s">
        <v>2231</v>
      </c>
      <c r="D899" s="105"/>
    </row>
    <row r="900" spans="1:4" ht="22.5" customHeight="1">
      <c r="A900" s="105">
        <v>899</v>
      </c>
      <c r="B900" s="105" t="s">
        <v>2232</v>
      </c>
      <c r="C900" s="105" t="s">
        <v>2233</v>
      </c>
      <c r="D900" s="105"/>
    </row>
    <row r="901" spans="1:4" ht="22.5" customHeight="1">
      <c r="A901" s="105">
        <v>900</v>
      </c>
      <c r="B901" s="105" t="s">
        <v>2234</v>
      </c>
      <c r="C901" s="105" t="s">
        <v>2235</v>
      </c>
      <c r="D901" s="105"/>
    </row>
    <row r="902" spans="1:4" ht="22.5" customHeight="1">
      <c r="A902" s="105">
        <v>901</v>
      </c>
      <c r="B902" s="105" t="s">
        <v>2236</v>
      </c>
      <c r="C902" s="105" t="s">
        <v>2237</v>
      </c>
      <c r="D902" s="105"/>
    </row>
    <row r="903" spans="1:4" ht="22.5" customHeight="1">
      <c r="A903" s="105">
        <v>902</v>
      </c>
      <c r="B903" s="105" t="s">
        <v>2238</v>
      </c>
      <c r="C903" s="105" t="s">
        <v>2239</v>
      </c>
      <c r="D903" s="105"/>
    </row>
    <row r="904" spans="1:4" ht="22.5" customHeight="1">
      <c r="A904" s="105">
        <v>903</v>
      </c>
      <c r="B904" s="105" t="s">
        <v>2240</v>
      </c>
      <c r="C904" s="105" t="s">
        <v>2241</v>
      </c>
      <c r="D904" s="105"/>
    </row>
    <row r="905" spans="1:4" ht="22.5" customHeight="1">
      <c r="A905" s="105">
        <v>904</v>
      </c>
      <c r="B905" s="105" t="s">
        <v>2242</v>
      </c>
      <c r="C905" s="105" t="s">
        <v>2243</v>
      </c>
      <c r="D905" s="105"/>
    </row>
    <row r="906" spans="1:4" ht="22.5" customHeight="1">
      <c r="A906" s="105">
        <v>905</v>
      </c>
      <c r="B906" s="105" t="s">
        <v>2244</v>
      </c>
      <c r="C906" s="105" t="s">
        <v>2245</v>
      </c>
      <c r="D906" s="105"/>
    </row>
    <row r="907" spans="1:4" ht="22.5" customHeight="1">
      <c r="A907" s="105">
        <v>906</v>
      </c>
      <c r="B907" s="105" t="s">
        <v>2246</v>
      </c>
      <c r="C907" s="105" t="s">
        <v>2247</v>
      </c>
      <c r="D907" s="105"/>
    </row>
    <row r="908" spans="1:4" ht="22.5" customHeight="1">
      <c r="A908" s="105">
        <v>907</v>
      </c>
      <c r="B908" s="105" t="s">
        <v>2248</v>
      </c>
      <c r="C908" s="105" t="s">
        <v>2249</v>
      </c>
      <c r="D908" s="105"/>
    </row>
    <row r="909" spans="1:4" ht="22.5" customHeight="1">
      <c r="A909" s="105">
        <v>908</v>
      </c>
      <c r="B909" s="105" t="s">
        <v>2250</v>
      </c>
      <c r="C909" s="105" t="s">
        <v>2251</v>
      </c>
      <c r="D909" s="105"/>
    </row>
    <row r="910" spans="1:4" ht="22.5" customHeight="1">
      <c r="A910" s="105">
        <v>909</v>
      </c>
      <c r="B910" s="105" t="s">
        <v>2252</v>
      </c>
      <c r="C910" s="105" t="s">
        <v>2253</v>
      </c>
      <c r="D910" s="105"/>
    </row>
    <row r="911" spans="1:4" ht="22.5" customHeight="1">
      <c r="A911" s="105">
        <v>910</v>
      </c>
      <c r="B911" s="105" t="s">
        <v>2254</v>
      </c>
      <c r="C911" s="105" t="s">
        <v>2255</v>
      </c>
      <c r="D911" s="105"/>
    </row>
    <row r="912" spans="1:4" ht="22.5" customHeight="1">
      <c r="A912" s="105">
        <v>911</v>
      </c>
      <c r="B912" s="105" t="s">
        <v>2256</v>
      </c>
      <c r="C912" s="105" t="s">
        <v>2257</v>
      </c>
      <c r="D912" s="105"/>
    </row>
    <row r="913" spans="1:4" ht="22.5" customHeight="1">
      <c r="A913" s="105">
        <v>912</v>
      </c>
      <c r="B913" s="105" t="s">
        <v>2258</v>
      </c>
      <c r="C913" s="105" t="s">
        <v>2259</v>
      </c>
      <c r="D913" s="105"/>
    </row>
    <row r="914" spans="1:4" ht="22.5" customHeight="1">
      <c r="A914" s="105">
        <v>913</v>
      </c>
      <c r="B914" s="105" t="s">
        <v>2260</v>
      </c>
      <c r="C914" s="105" t="s">
        <v>2261</v>
      </c>
      <c r="D914" s="105"/>
    </row>
    <row r="915" spans="1:4" ht="22.5" customHeight="1">
      <c r="A915" s="105">
        <v>914</v>
      </c>
      <c r="B915" s="105" t="s">
        <v>2262</v>
      </c>
      <c r="C915" s="105" t="s">
        <v>2263</v>
      </c>
      <c r="D915" s="105"/>
    </row>
    <row r="916" spans="1:4" ht="22.5" customHeight="1">
      <c r="A916" s="105">
        <v>915</v>
      </c>
      <c r="B916" s="105" t="s">
        <v>2264</v>
      </c>
      <c r="C916" s="105" t="s">
        <v>2265</v>
      </c>
      <c r="D916" s="105"/>
    </row>
    <row r="917" spans="1:4" ht="22.5" customHeight="1">
      <c r="A917" s="105">
        <v>916</v>
      </c>
      <c r="B917" s="105" t="s">
        <v>2266</v>
      </c>
      <c r="C917" s="105" t="s">
        <v>2267</v>
      </c>
      <c r="D917" s="105"/>
    </row>
    <row r="918" spans="1:4" ht="22.5" customHeight="1">
      <c r="A918" s="105">
        <v>917</v>
      </c>
      <c r="B918" s="105" t="s">
        <v>2268</v>
      </c>
      <c r="C918" s="105" t="s">
        <v>2269</v>
      </c>
      <c r="D918" s="105"/>
    </row>
    <row r="919" spans="1:4" ht="22.5" customHeight="1">
      <c r="A919" s="105">
        <v>918</v>
      </c>
      <c r="B919" s="105" t="s">
        <v>2270</v>
      </c>
      <c r="C919" s="105" t="s">
        <v>2271</v>
      </c>
      <c r="D919" s="105"/>
    </row>
    <row r="920" spans="1:4" ht="22.5" customHeight="1">
      <c r="A920" s="105">
        <v>919</v>
      </c>
      <c r="B920" s="105" t="s">
        <v>2272</v>
      </c>
      <c r="C920" s="105" t="s">
        <v>2273</v>
      </c>
      <c r="D920" s="105"/>
    </row>
    <row r="921" spans="1:4" ht="22.5" customHeight="1">
      <c r="A921" s="105">
        <v>920</v>
      </c>
      <c r="B921" s="105" t="s">
        <v>2274</v>
      </c>
      <c r="C921" s="105" t="s">
        <v>2275</v>
      </c>
      <c r="D921" s="105"/>
    </row>
    <row r="922" spans="1:4" ht="22.5" customHeight="1">
      <c r="A922" s="105">
        <v>921</v>
      </c>
      <c r="B922" s="105" t="s">
        <v>2276</v>
      </c>
      <c r="C922" s="105" t="s">
        <v>2277</v>
      </c>
      <c r="D922" s="105"/>
    </row>
    <row r="923" spans="1:4" ht="22.5" customHeight="1">
      <c r="A923" s="105">
        <v>922</v>
      </c>
      <c r="B923" s="105" t="s">
        <v>2278</v>
      </c>
      <c r="C923" s="105" t="s">
        <v>2279</v>
      </c>
      <c r="D923" s="105"/>
    </row>
    <row r="924" spans="1:4" ht="22.5" customHeight="1">
      <c r="A924" s="105">
        <v>923</v>
      </c>
      <c r="B924" s="105" t="s">
        <v>2280</v>
      </c>
      <c r="C924" s="105" t="s">
        <v>4060</v>
      </c>
      <c r="D924" s="105"/>
    </row>
    <row r="925" spans="1:4" ht="22.5" customHeight="1">
      <c r="A925" s="105">
        <v>924</v>
      </c>
      <c r="B925" s="105" t="s">
        <v>2281</v>
      </c>
      <c r="C925" s="105" t="s">
        <v>2282</v>
      </c>
      <c r="D925" s="105"/>
    </row>
    <row r="926" spans="1:4" ht="22.5" customHeight="1">
      <c r="A926" s="105">
        <v>925</v>
      </c>
      <c r="B926" s="105" t="s">
        <v>2283</v>
      </c>
      <c r="C926" s="105" t="s">
        <v>2284</v>
      </c>
      <c r="D926" s="105"/>
    </row>
    <row r="927" spans="1:4" ht="22.5" customHeight="1">
      <c r="A927" s="105">
        <v>926</v>
      </c>
      <c r="B927" s="105" t="s">
        <v>2285</v>
      </c>
      <c r="C927" s="105" t="s">
        <v>2286</v>
      </c>
      <c r="D927" s="105"/>
    </row>
    <row r="928" spans="1:4" ht="22.5" customHeight="1">
      <c r="A928" s="105">
        <v>927</v>
      </c>
      <c r="B928" s="105" t="s">
        <v>2287</v>
      </c>
      <c r="C928" s="105" t="s">
        <v>2288</v>
      </c>
      <c r="D928" s="105"/>
    </row>
    <row r="929" spans="1:4" ht="22.5" customHeight="1">
      <c r="A929" s="105">
        <v>928</v>
      </c>
      <c r="B929" s="105" t="s">
        <v>2289</v>
      </c>
      <c r="C929" s="105" t="s">
        <v>2290</v>
      </c>
      <c r="D929" s="105"/>
    </row>
    <row r="930" spans="1:4" ht="22.5" customHeight="1">
      <c r="A930" s="105">
        <v>929</v>
      </c>
      <c r="B930" s="105" t="s">
        <v>2291</v>
      </c>
      <c r="C930" s="105" t="s">
        <v>2292</v>
      </c>
      <c r="D930" s="105"/>
    </row>
    <row r="931" spans="1:4" ht="22.5" customHeight="1">
      <c r="A931" s="105">
        <v>930</v>
      </c>
      <c r="B931" s="105" t="s">
        <v>2293</v>
      </c>
      <c r="C931" s="105" t="s">
        <v>2294</v>
      </c>
      <c r="D931" s="105"/>
    </row>
    <row r="932" spans="1:4" ht="22.5" customHeight="1">
      <c r="A932" s="105">
        <v>931</v>
      </c>
      <c r="B932" s="105" t="s">
        <v>2295</v>
      </c>
      <c r="C932" s="105" t="s">
        <v>2296</v>
      </c>
      <c r="D932" s="105"/>
    </row>
    <row r="933" spans="1:4" ht="22.5" customHeight="1">
      <c r="A933" s="105">
        <v>932</v>
      </c>
      <c r="B933" s="105" t="s">
        <v>2297</v>
      </c>
      <c r="C933" s="105" t="s">
        <v>2298</v>
      </c>
      <c r="D933" s="105"/>
    </row>
    <row r="934" spans="1:4" ht="22.5" customHeight="1">
      <c r="A934" s="105">
        <v>933</v>
      </c>
      <c r="B934" s="105" t="s">
        <v>2299</v>
      </c>
      <c r="C934" s="105" t="s">
        <v>2300</v>
      </c>
      <c r="D934" s="105"/>
    </row>
    <row r="935" spans="1:4" ht="22.5" customHeight="1">
      <c r="A935" s="105">
        <v>934</v>
      </c>
      <c r="B935" s="105" t="s">
        <v>2301</v>
      </c>
      <c r="C935" s="105" t="s">
        <v>2302</v>
      </c>
      <c r="D935" s="105"/>
    </row>
    <row r="936" spans="1:4" ht="22.5" customHeight="1">
      <c r="A936" s="105">
        <v>935</v>
      </c>
      <c r="B936" s="105" t="s">
        <v>2303</v>
      </c>
      <c r="C936" s="105" t="s">
        <v>2304</v>
      </c>
      <c r="D936" s="105"/>
    </row>
    <row r="937" spans="1:4" ht="22.5" customHeight="1">
      <c r="A937" s="105">
        <v>936</v>
      </c>
      <c r="B937" s="105" t="s">
        <v>2305</v>
      </c>
      <c r="C937" s="105" t="s">
        <v>2306</v>
      </c>
      <c r="D937" s="105"/>
    </row>
    <row r="938" spans="1:4" ht="22.5" customHeight="1">
      <c r="A938" s="105">
        <v>937</v>
      </c>
      <c r="B938" s="105" t="s">
        <v>2307</v>
      </c>
      <c r="C938" s="105" t="s">
        <v>2308</v>
      </c>
      <c r="D938" s="105"/>
    </row>
    <row r="939" spans="1:4" ht="22.5" customHeight="1">
      <c r="A939" s="105">
        <v>938</v>
      </c>
      <c r="B939" s="105" t="s">
        <v>2309</v>
      </c>
      <c r="C939" s="105" t="s">
        <v>2310</v>
      </c>
      <c r="D939" s="105"/>
    </row>
    <row r="940" spans="1:4" ht="70.5" customHeight="1">
      <c r="A940" s="105">
        <v>939</v>
      </c>
      <c r="B940" s="105" t="s">
        <v>2311</v>
      </c>
      <c r="C940" s="105" t="s">
        <v>2312</v>
      </c>
      <c r="D940" s="105"/>
    </row>
    <row r="941" spans="1:4" ht="21" customHeight="1">
      <c r="A941" s="105">
        <v>940</v>
      </c>
      <c r="B941" s="105" t="s">
        <v>2313</v>
      </c>
      <c r="C941" s="105" t="s">
        <v>2314</v>
      </c>
      <c r="D941" s="105"/>
    </row>
    <row r="942" spans="1:4" ht="21" customHeight="1">
      <c r="A942" s="105">
        <v>941</v>
      </c>
      <c r="B942" s="105" t="s">
        <v>2315</v>
      </c>
      <c r="C942" s="105" t="s">
        <v>2316</v>
      </c>
      <c r="D942" s="105"/>
    </row>
    <row r="943" spans="1:4" ht="21" customHeight="1">
      <c r="A943" s="105">
        <v>942</v>
      </c>
      <c r="B943" s="105" t="s">
        <v>2317</v>
      </c>
      <c r="C943" s="105" t="s">
        <v>2318</v>
      </c>
      <c r="D943" s="105"/>
    </row>
    <row r="944" spans="1:4" ht="21" customHeight="1">
      <c r="A944" s="105">
        <v>943</v>
      </c>
      <c r="B944" s="105" t="s">
        <v>2319</v>
      </c>
      <c r="C944" s="105" t="s">
        <v>2320</v>
      </c>
      <c r="D944" s="105"/>
    </row>
    <row r="945" spans="1:4" ht="21" customHeight="1">
      <c r="A945" s="105">
        <v>944</v>
      </c>
      <c r="B945" s="105" t="s">
        <v>2321</v>
      </c>
      <c r="C945" s="105" t="s">
        <v>2322</v>
      </c>
      <c r="D945" s="105"/>
    </row>
    <row r="946" spans="1:4" ht="159" customHeight="1">
      <c r="A946" s="105">
        <v>945</v>
      </c>
      <c r="B946" s="105" t="s">
        <v>2323</v>
      </c>
      <c r="C946" s="105" t="s">
        <v>4061</v>
      </c>
      <c r="D946" s="105"/>
    </row>
    <row r="947" spans="1:4" ht="30.75" customHeight="1">
      <c r="A947" s="105">
        <v>946</v>
      </c>
      <c r="B947" s="105" t="s">
        <v>2324</v>
      </c>
      <c r="C947" s="105" t="s">
        <v>2325</v>
      </c>
      <c r="D947" s="105"/>
    </row>
    <row r="948" spans="1:4" ht="21" customHeight="1">
      <c r="A948" s="105">
        <v>947</v>
      </c>
      <c r="B948" s="105" t="s">
        <v>2326</v>
      </c>
      <c r="C948" s="105" t="s">
        <v>2327</v>
      </c>
      <c r="D948" s="105"/>
    </row>
    <row r="949" spans="1:4" ht="21" customHeight="1">
      <c r="A949" s="105">
        <v>948</v>
      </c>
      <c r="B949" s="105" t="s">
        <v>2328</v>
      </c>
      <c r="C949" s="105" t="s">
        <v>2329</v>
      </c>
      <c r="D949" s="105"/>
    </row>
    <row r="950" spans="1:4" ht="21" customHeight="1">
      <c r="A950" s="105">
        <v>949</v>
      </c>
      <c r="B950" s="105" t="s">
        <v>2330</v>
      </c>
      <c r="C950" s="105" t="s">
        <v>2331</v>
      </c>
      <c r="D950" s="105"/>
    </row>
    <row r="951" spans="1:4" ht="150.75" customHeight="1">
      <c r="A951" s="105">
        <v>950</v>
      </c>
      <c r="B951" s="105" t="s">
        <v>2332</v>
      </c>
      <c r="C951" s="105" t="s">
        <v>2333</v>
      </c>
      <c r="D951" s="105"/>
    </row>
    <row r="952" spans="1:4" ht="21" customHeight="1">
      <c r="A952" s="105">
        <v>951</v>
      </c>
      <c r="B952" s="105" t="s">
        <v>2334</v>
      </c>
      <c r="C952" s="105" t="s">
        <v>2335</v>
      </c>
      <c r="D952" s="105"/>
    </row>
    <row r="953" spans="1:4" ht="21" customHeight="1">
      <c r="A953" s="105">
        <v>952</v>
      </c>
      <c r="B953" s="105" t="s">
        <v>2336</v>
      </c>
      <c r="C953" s="105" t="s">
        <v>2337</v>
      </c>
      <c r="D953" s="105"/>
    </row>
    <row r="954" spans="1:4" ht="21" customHeight="1">
      <c r="A954" s="105">
        <v>953</v>
      </c>
      <c r="B954" s="105" t="s">
        <v>2338</v>
      </c>
      <c r="C954" s="105" t="s">
        <v>2339</v>
      </c>
      <c r="D954" s="105"/>
    </row>
    <row r="955" spans="1:4" ht="21" customHeight="1">
      <c r="A955" s="105">
        <v>954</v>
      </c>
      <c r="B955" s="105" t="s">
        <v>2340</v>
      </c>
      <c r="C955" s="105" t="s">
        <v>2341</v>
      </c>
      <c r="D955" s="105"/>
    </row>
    <row r="956" spans="1:4" ht="21" customHeight="1">
      <c r="A956" s="105">
        <v>955</v>
      </c>
      <c r="B956" s="105" t="s">
        <v>2336</v>
      </c>
      <c r="C956" s="105" t="s">
        <v>2337</v>
      </c>
      <c r="D956" s="105"/>
    </row>
    <row r="957" spans="1:4" ht="21" customHeight="1">
      <c r="A957" s="105">
        <v>956</v>
      </c>
      <c r="B957" s="105" t="s">
        <v>2338</v>
      </c>
      <c r="C957" s="105" t="s">
        <v>2339</v>
      </c>
      <c r="D957" s="105"/>
    </row>
    <row r="958" spans="1:4" ht="21" customHeight="1">
      <c r="A958" s="105">
        <v>957</v>
      </c>
      <c r="B958" s="105" t="s">
        <v>2340</v>
      </c>
      <c r="C958" s="105" t="s">
        <v>2341</v>
      </c>
      <c r="D958" s="105"/>
    </row>
    <row r="959" spans="1:4" ht="21" customHeight="1">
      <c r="A959" s="105">
        <v>958</v>
      </c>
      <c r="B959" s="105" t="s">
        <v>2342</v>
      </c>
      <c r="C959" s="105" t="s">
        <v>2343</v>
      </c>
      <c r="D959" s="105"/>
    </row>
    <row r="960" spans="1:4" ht="21" customHeight="1">
      <c r="A960" s="105">
        <v>959</v>
      </c>
      <c r="B960" s="105" t="s">
        <v>2344</v>
      </c>
      <c r="C960" s="105" t="s">
        <v>2345</v>
      </c>
      <c r="D960" s="105"/>
    </row>
    <row r="961" spans="1:4" ht="21" customHeight="1">
      <c r="A961" s="105">
        <v>960</v>
      </c>
      <c r="B961" s="105" t="s">
        <v>2346</v>
      </c>
      <c r="C961" s="105" t="s">
        <v>2347</v>
      </c>
      <c r="D961" s="105"/>
    </row>
    <row r="962" spans="1:4" ht="21" customHeight="1">
      <c r="A962" s="105">
        <v>961</v>
      </c>
      <c r="B962" s="105" t="s">
        <v>2348</v>
      </c>
      <c r="C962" s="105" t="s">
        <v>2349</v>
      </c>
      <c r="D962" s="105"/>
    </row>
    <row r="963" spans="1:4" ht="21" customHeight="1">
      <c r="A963" s="105">
        <v>962</v>
      </c>
      <c r="B963" s="105" t="s">
        <v>2350</v>
      </c>
      <c r="C963" s="105" t="s">
        <v>2351</v>
      </c>
      <c r="D963" s="105"/>
    </row>
    <row r="964" spans="1:4" ht="21" customHeight="1">
      <c r="A964" s="105">
        <v>963</v>
      </c>
      <c r="B964" s="105" t="s">
        <v>2352</v>
      </c>
      <c r="C964" s="105" t="s">
        <v>2353</v>
      </c>
      <c r="D964" s="105"/>
    </row>
    <row r="965" spans="1:4" ht="21" customHeight="1">
      <c r="A965" s="105">
        <v>964</v>
      </c>
      <c r="B965" s="105" t="s">
        <v>2354</v>
      </c>
      <c r="C965" s="105" t="s">
        <v>2355</v>
      </c>
      <c r="D965" s="105"/>
    </row>
    <row r="966" spans="1:4" ht="21" customHeight="1">
      <c r="A966" s="105">
        <v>965</v>
      </c>
      <c r="B966" s="105" t="s">
        <v>2356</v>
      </c>
      <c r="C966" s="105" t="s">
        <v>2357</v>
      </c>
      <c r="D966" s="105"/>
    </row>
    <row r="967" spans="1:4" ht="21" customHeight="1">
      <c r="A967" s="105">
        <v>966</v>
      </c>
      <c r="B967" s="105" t="s">
        <v>2358</v>
      </c>
      <c r="C967" s="105" t="s">
        <v>2359</v>
      </c>
      <c r="D967" s="105"/>
    </row>
    <row r="968" spans="1:4" ht="21" customHeight="1">
      <c r="A968" s="105">
        <v>967</v>
      </c>
      <c r="B968" s="105" t="s">
        <v>2360</v>
      </c>
      <c r="C968" s="105" t="s">
        <v>2361</v>
      </c>
      <c r="D968" s="105"/>
    </row>
    <row r="969" spans="1:4" ht="150.75" customHeight="1">
      <c r="A969" s="105">
        <v>968</v>
      </c>
      <c r="B969" s="105" t="s">
        <v>2362</v>
      </c>
      <c r="C969" s="105" t="s">
        <v>2363</v>
      </c>
      <c r="D969" s="105"/>
    </row>
    <row r="970" spans="1:4" ht="21" customHeight="1">
      <c r="A970" s="105">
        <v>969</v>
      </c>
      <c r="B970" s="105" t="s">
        <v>2364</v>
      </c>
      <c r="C970" s="105" t="s">
        <v>2365</v>
      </c>
      <c r="D970" s="105"/>
    </row>
    <row r="971" spans="1:4" ht="156" customHeight="1">
      <c r="A971" s="105">
        <v>970</v>
      </c>
      <c r="B971" s="105" t="s">
        <v>2366</v>
      </c>
      <c r="C971" s="105" t="s">
        <v>2367</v>
      </c>
      <c r="D971" s="105"/>
    </row>
    <row r="972" spans="1:4" ht="21" customHeight="1">
      <c r="A972" s="105">
        <v>971</v>
      </c>
      <c r="B972" s="105" t="s">
        <v>2368</v>
      </c>
      <c r="C972" s="105" t="s">
        <v>2369</v>
      </c>
      <c r="D972" s="105"/>
    </row>
    <row r="973" spans="1:4" ht="21" customHeight="1">
      <c r="A973" s="105">
        <v>972</v>
      </c>
      <c r="B973" s="105" t="s">
        <v>2370</v>
      </c>
      <c r="C973" s="105" t="s">
        <v>2371</v>
      </c>
      <c r="D973" s="105"/>
    </row>
    <row r="974" spans="1:4" ht="129" customHeight="1">
      <c r="A974" s="105">
        <v>973</v>
      </c>
      <c r="B974" s="105" t="s">
        <v>2372</v>
      </c>
      <c r="C974" s="105" t="s">
        <v>2373</v>
      </c>
      <c r="D974" s="105"/>
    </row>
    <row r="975" spans="1:4" ht="165" customHeight="1">
      <c r="A975" s="105">
        <v>974</v>
      </c>
      <c r="B975" s="105" t="s">
        <v>2374</v>
      </c>
      <c r="C975" s="105" t="s">
        <v>2375</v>
      </c>
      <c r="D975" s="105"/>
    </row>
    <row r="976" spans="1:4" ht="195" customHeight="1">
      <c r="A976" s="105">
        <v>975</v>
      </c>
      <c r="B976" s="105" t="s">
        <v>2376</v>
      </c>
      <c r="C976" s="105" t="s">
        <v>2377</v>
      </c>
      <c r="D976" s="105"/>
    </row>
    <row r="977" spans="1:4" ht="21" customHeight="1">
      <c r="A977" s="105">
        <v>976</v>
      </c>
      <c r="B977" s="105" t="s">
        <v>2378</v>
      </c>
      <c r="C977" s="105" t="s">
        <v>2379</v>
      </c>
      <c r="D977" s="105"/>
    </row>
    <row r="978" spans="1:4" ht="21" customHeight="1">
      <c r="A978" s="105">
        <v>977</v>
      </c>
      <c r="B978" s="105" t="s">
        <v>2380</v>
      </c>
      <c r="C978" s="105" t="s">
        <v>2381</v>
      </c>
      <c r="D978" s="105"/>
    </row>
    <row r="979" spans="1:4" ht="21" customHeight="1">
      <c r="A979" s="105">
        <v>978</v>
      </c>
      <c r="B979" s="105" t="s">
        <v>2382</v>
      </c>
      <c r="C979" s="105" t="s">
        <v>2383</v>
      </c>
      <c r="D979" s="105"/>
    </row>
    <row r="980" spans="1:4" ht="21" customHeight="1">
      <c r="A980" s="105">
        <v>979</v>
      </c>
      <c r="B980" s="105" t="s">
        <v>2384</v>
      </c>
      <c r="C980" s="105" t="s">
        <v>2385</v>
      </c>
      <c r="D980" s="105"/>
    </row>
    <row r="981" spans="1:4" ht="21" customHeight="1">
      <c r="A981" s="105">
        <v>980</v>
      </c>
      <c r="B981" s="105" t="s">
        <v>2386</v>
      </c>
      <c r="C981" s="105" t="s">
        <v>2387</v>
      </c>
      <c r="D981" s="105"/>
    </row>
    <row r="982" spans="1:4" ht="21" customHeight="1">
      <c r="A982" s="105">
        <v>981</v>
      </c>
      <c r="B982" s="105" t="s">
        <v>2388</v>
      </c>
      <c r="C982" s="105" t="s">
        <v>2389</v>
      </c>
      <c r="D982" s="105"/>
    </row>
    <row r="983" spans="1:4" ht="21" customHeight="1">
      <c r="A983" s="105">
        <v>982</v>
      </c>
      <c r="B983" s="105" t="s">
        <v>2390</v>
      </c>
      <c r="C983" s="105" t="s">
        <v>2391</v>
      </c>
      <c r="D983" s="105"/>
    </row>
    <row r="984" spans="1:4" ht="21" customHeight="1">
      <c r="A984" s="105">
        <v>983</v>
      </c>
      <c r="B984" s="105" t="s">
        <v>2392</v>
      </c>
      <c r="C984" s="105" t="s">
        <v>2393</v>
      </c>
      <c r="D984" s="105"/>
    </row>
    <row r="985" spans="1:4" ht="21" customHeight="1">
      <c r="A985" s="105">
        <v>984</v>
      </c>
      <c r="B985" s="105" t="s">
        <v>2394</v>
      </c>
      <c r="C985" s="105" t="s">
        <v>2395</v>
      </c>
      <c r="D985" s="105"/>
    </row>
    <row r="986" spans="1:4" ht="21" customHeight="1">
      <c r="A986" s="105">
        <v>985</v>
      </c>
      <c r="B986" s="105" t="s">
        <v>2396</v>
      </c>
      <c r="C986" s="105" t="s">
        <v>2397</v>
      </c>
      <c r="D986" s="105"/>
    </row>
    <row r="987" spans="1:4" ht="21" customHeight="1">
      <c r="A987" s="105">
        <v>986</v>
      </c>
      <c r="B987" s="105" t="s">
        <v>2398</v>
      </c>
      <c r="C987" s="105" t="s">
        <v>2399</v>
      </c>
      <c r="D987" s="105"/>
    </row>
    <row r="988" spans="1:4" ht="21" customHeight="1">
      <c r="A988" s="105">
        <v>987</v>
      </c>
      <c r="B988" s="105" t="s">
        <v>2400</v>
      </c>
      <c r="C988" s="105" t="s">
        <v>2401</v>
      </c>
      <c r="D988" s="105"/>
    </row>
    <row r="989" spans="1:4" ht="21" customHeight="1">
      <c r="A989" s="105">
        <v>988</v>
      </c>
      <c r="B989" s="105" t="s">
        <v>2402</v>
      </c>
      <c r="C989" s="105" t="s">
        <v>2403</v>
      </c>
      <c r="D989" s="105"/>
    </row>
    <row r="990" spans="1:4" ht="21" customHeight="1">
      <c r="A990" s="105">
        <v>989</v>
      </c>
      <c r="B990" s="105" t="s">
        <v>2404</v>
      </c>
      <c r="C990" s="105" t="s">
        <v>2405</v>
      </c>
      <c r="D990" s="105"/>
    </row>
    <row r="991" spans="1:4" ht="21" customHeight="1">
      <c r="A991" s="105">
        <v>990</v>
      </c>
      <c r="B991" s="105" t="s">
        <v>2406</v>
      </c>
      <c r="C991" s="105" t="s">
        <v>2407</v>
      </c>
      <c r="D991" s="105"/>
    </row>
    <row r="992" spans="1:4" ht="168.75" customHeight="1">
      <c r="A992" s="105">
        <v>991</v>
      </c>
      <c r="B992" s="105" t="s">
        <v>2408</v>
      </c>
      <c r="C992" s="105" t="s">
        <v>2409</v>
      </c>
      <c r="D992" s="105"/>
    </row>
    <row r="993" spans="1:4" ht="21" customHeight="1">
      <c r="A993" s="105">
        <v>992</v>
      </c>
      <c r="B993" s="105" t="s">
        <v>2410</v>
      </c>
      <c r="C993" s="105" t="s">
        <v>2411</v>
      </c>
      <c r="D993" s="105"/>
    </row>
    <row r="994" spans="1:4" ht="139.5" customHeight="1">
      <c r="A994" s="105">
        <v>993</v>
      </c>
      <c r="B994" s="105" t="s">
        <v>2412</v>
      </c>
      <c r="C994" s="105" t="s">
        <v>2413</v>
      </c>
      <c r="D994" s="105"/>
    </row>
    <row r="995" spans="1:4" ht="153" customHeight="1">
      <c r="A995" s="105">
        <v>994</v>
      </c>
      <c r="B995" s="105" t="s">
        <v>2414</v>
      </c>
      <c r="C995" s="105" t="s">
        <v>2415</v>
      </c>
      <c r="D995" s="105"/>
    </row>
    <row r="996" spans="1:4" ht="21" customHeight="1">
      <c r="A996" s="105">
        <v>995</v>
      </c>
      <c r="B996" s="105" t="s">
        <v>2416</v>
      </c>
      <c r="C996" s="105" t="s">
        <v>2417</v>
      </c>
      <c r="D996" s="105"/>
    </row>
    <row r="997" spans="1:4" ht="21" customHeight="1">
      <c r="A997" s="105">
        <v>996</v>
      </c>
      <c r="B997" s="105" t="s">
        <v>2418</v>
      </c>
      <c r="C997" s="105" t="s">
        <v>2419</v>
      </c>
      <c r="D997" s="105"/>
    </row>
    <row r="998" spans="1:4" ht="21" customHeight="1">
      <c r="A998" s="105">
        <v>997</v>
      </c>
      <c r="B998" s="105" t="s">
        <v>2420</v>
      </c>
      <c r="C998" s="105" t="s">
        <v>2421</v>
      </c>
      <c r="D998" s="105"/>
    </row>
    <row r="999" spans="1:4" ht="21" customHeight="1">
      <c r="A999" s="105">
        <v>998</v>
      </c>
      <c r="B999" s="105" t="s">
        <v>2422</v>
      </c>
      <c r="C999" s="105" t="s">
        <v>2423</v>
      </c>
      <c r="D999" s="105"/>
    </row>
    <row r="1000" spans="1:4" ht="21" customHeight="1">
      <c r="A1000" s="105">
        <v>999</v>
      </c>
      <c r="B1000" s="105" t="s">
        <v>2424</v>
      </c>
      <c r="C1000" s="105" t="s">
        <v>2425</v>
      </c>
      <c r="D1000" s="105"/>
    </row>
    <row r="1001" spans="1:4" ht="111.75" customHeight="1">
      <c r="A1001" s="105">
        <v>1000</v>
      </c>
      <c r="B1001" s="105" t="s">
        <v>2426</v>
      </c>
      <c r="C1001" s="105" t="s">
        <v>2427</v>
      </c>
      <c r="D1001" s="105"/>
    </row>
    <row r="1002" spans="1:4" ht="21" customHeight="1">
      <c r="A1002" s="105">
        <v>1001</v>
      </c>
      <c r="B1002" s="105" t="s">
        <v>2428</v>
      </c>
      <c r="C1002" s="105" t="s">
        <v>2429</v>
      </c>
      <c r="D1002" s="105"/>
    </row>
    <row r="1003" spans="1:4" ht="21" customHeight="1">
      <c r="A1003" s="105">
        <v>1002</v>
      </c>
      <c r="B1003" s="105" t="s">
        <v>2376</v>
      </c>
      <c r="C1003" s="105" t="s">
        <v>2430</v>
      </c>
      <c r="D1003" s="105"/>
    </row>
    <row r="1004" spans="1:4" ht="171" customHeight="1">
      <c r="A1004" s="105">
        <v>1003</v>
      </c>
      <c r="B1004" s="105" t="s">
        <v>2431</v>
      </c>
      <c r="C1004" s="105" t="s">
        <v>2432</v>
      </c>
      <c r="D1004" s="105"/>
    </row>
    <row r="1005" spans="1:4" ht="21" customHeight="1">
      <c r="A1005" s="105">
        <v>1004</v>
      </c>
      <c r="B1005" s="105" t="s">
        <v>2433</v>
      </c>
      <c r="C1005" s="105" t="s">
        <v>2434</v>
      </c>
      <c r="D1005" s="105"/>
    </row>
    <row r="1006" spans="1:4" ht="21" customHeight="1">
      <c r="A1006" s="105">
        <v>1005</v>
      </c>
      <c r="B1006" s="105" t="s">
        <v>2435</v>
      </c>
      <c r="C1006" s="105" t="s">
        <v>2436</v>
      </c>
      <c r="D1006" s="105"/>
    </row>
    <row r="1007" spans="1:4" ht="21" customHeight="1">
      <c r="A1007" s="105">
        <v>1006</v>
      </c>
      <c r="B1007" s="105" t="s">
        <v>2437</v>
      </c>
      <c r="C1007" s="105" t="s">
        <v>2438</v>
      </c>
      <c r="D1007" s="105"/>
    </row>
    <row r="1008" spans="1:4" ht="21" customHeight="1">
      <c r="A1008" s="105">
        <v>1007</v>
      </c>
      <c r="B1008" s="105" t="s">
        <v>2439</v>
      </c>
      <c r="C1008" s="105" t="s">
        <v>2440</v>
      </c>
      <c r="D1008" s="105"/>
    </row>
    <row r="1009" spans="1:4" ht="45.75" customHeight="1">
      <c r="A1009" s="105">
        <v>1008</v>
      </c>
      <c r="B1009" s="105" t="s">
        <v>2441</v>
      </c>
      <c r="C1009" s="105" t="s">
        <v>2442</v>
      </c>
      <c r="D1009" s="105"/>
    </row>
    <row r="1010" spans="1:4" ht="21" customHeight="1">
      <c r="A1010" s="105">
        <v>1009</v>
      </c>
      <c r="B1010" s="105" t="s">
        <v>2443</v>
      </c>
      <c r="C1010" s="105" t="s">
        <v>2444</v>
      </c>
      <c r="D1010" s="105"/>
    </row>
    <row r="1011" spans="1:4" ht="21" customHeight="1">
      <c r="A1011" s="105">
        <v>1010</v>
      </c>
      <c r="B1011" s="105" t="s">
        <v>2445</v>
      </c>
      <c r="C1011" s="105" t="s">
        <v>2446</v>
      </c>
      <c r="D1011" s="105"/>
    </row>
    <row r="1012" spans="1:4" ht="21" customHeight="1">
      <c r="A1012" s="105">
        <v>1011</v>
      </c>
      <c r="B1012" s="105" t="s">
        <v>2447</v>
      </c>
      <c r="C1012" s="105" t="s">
        <v>2448</v>
      </c>
      <c r="D1012" s="105"/>
    </row>
    <row r="1013" spans="1:4" ht="21" customHeight="1">
      <c r="A1013" s="105">
        <v>1012</v>
      </c>
      <c r="B1013" s="105" t="s">
        <v>2449</v>
      </c>
      <c r="C1013" s="105" t="s">
        <v>2450</v>
      </c>
      <c r="D1013" s="105"/>
    </row>
    <row r="1014" spans="1:4" ht="132.75" customHeight="1">
      <c r="A1014" s="105">
        <v>1013</v>
      </c>
      <c r="B1014" s="105" t="s">
        <v>2451</v>
      </c>
      <c r="C1014" s="105" t="s">
        <v>2452</v>
      </c>
      <c r="D1014" s="105"/>
    </row>
    <row r="1015" spans="1:4" ht="21" customHeight="1">
      <c r="A1015" s="105">
        <v>1014</v>
      </c>
      <c r="B1015" s="105" t="s">
        <v>2453</v>
      </c>
      <c r="C1015" s="105" t="s">
        <v>2454</v>
      </c>
      <c r="D1015" s="105"/>
    </row>
    <row r="1016" spans="1:4" ht="21" customHeight="1">
      <c r="A1016" s="105">
        <v>1015</v>
      </c>
      <c r="B1016" s="105" t="s">
        <v>2455</v>
      </c>
      <c r="C1016" s="105" t="s">
        <v>2456</v>
      </c>
      <c r="D1016" s="105"/>
    </row>
    <row r="1017" spans="1:4" ht="21" customHeight="1">
      <c r="A1017" s="105">
        <v>1016</v>
      </c>
      <c r="B1017" s="105" t="s">
        <v>2457</v>
      </c>
      <c r="C1017" s="105" t="s">
        <v>2458</v>
      </c>
      <c r="D1017" s="105"/>
    </row>
    <row r="1018" spans="1:4" ht="21" customHeight="1">
      <c r="A1018" s="105">
        <v>1017</v>
      </c>
      <c r="B1018" s="105" t="s">
        <v>2459</v>
      </c>
      <c r="C1018" s="105" t="s">
        <v>2460</v>
      </c>
      <c r="D1018" s="105"/>
    </row>
    <row r="1019" spans="1:4" ht="21" customHeight="1">
      <c r="A1019" s="105">
        <v>1018</v>
      </c>
      <c r="B1019" s="105" t="s">
        <v>2461</v>
      </c>
      <c r="C1019" s="105" t="s">
        <v>2462</v>
      </c>
      <c r="D1019" s="105"/>
    </row>
    <row r="1020" spans="1:4" ht="21" customHeight="1">
      <c r="A1020" s="105">
        <v>1019</v>
      </c>
      <c r="B1020" s="105" t="s">
        <v>2463</v>
      </c>
      <c r="C1020" s="105" t="s">
        <v>2464</v>
      </c>
      <c r="D1020" s="105"/>
    </row>
    <row r="1021" spans="1:4" ht="21" customHeight="1">
      <c r="A1021" s="105">
        <v>1020</v>
      </c>
      <c r="B1021" s="105" t="s">
        <v>2465</v>
      </c>
      <c r="C1021" s="105" t="s">
        <v>2466</v>
      </c>
      <c r="D1021" s="105"/>
    </row>
    <row r="1022" spans="1:4" ht="21" customHeight="1">
      <c r="A1022" s="105">
        <v>1021</v>
      </c>
      <c r="B1022" s="105" t="s">
        <v>2467</v>
      </c>
      <c r="C1022" s="105" t="s">
        <v>2468</v>
      </c>
      <c r="D1022" s="105"/>
    </row>
    <row r="1023" spans="1:4" ht="21" customHeight="1">
      <c r="A1023" s="105">
        <v>1022</v>
      </c>
      <c r="B1023" s="105" t="s">
        <v>2469</v>
      </c>
      <c r="C1023" s="105" t="s">
        <v>2470</v>
      </c>
      <c r="D1023" s="105"/>
    </row>
    <row r="1024" spans="1:4" ht="21" customHeight="1">
      <c r="A1024" s="105">
        <v>1023</v>
      </c>
      <c r="B1024" s="105" t="s">
        <v>2471</v>
      </c>
      <c r="C1024" s="105" t="s">
        <v>2472</v>
      </c>
      <c r="D1024" s="105"/>
    </row>
    <row r="1025" spans="1:4" ht="21" customHeight="1">
      <c r="A1025" s="105">
        <v>1024</v>
      </c>
      <c r="B1025" s="105" t="s">
        <v>2473</v>
      </c>
      <c r="C1025" s="105" t="s">
        <v>2474</v>
      </c>
      <c r="D1025" s="105"/>
    </row>
    <row r="1026" spans="1:4" ht="21" customHeight="1">
      <c r="A1026" s="105">
        <v>1025</v>
      </c>
      <c r="B1026" s="105" t="s">
        <v>2475</v>
      </c>
      <c r="C1026" s="105" t="s">
        <v>2476</v>
      </c>
      <c r="D1026" s="105"/>
    </row>
    <row r="1027" spans="1:4" ht="21" customHeight="1">
      <c r="A1027" s="105">
        <v>1026</v>
      </c>
      <c r="B1027" s="105" t="s">
        <v>2477</v>
      </c>
      <c r="C1027" s="105" t="s">
        <v>2478</v>
      </c>
      <c r="D1027" s="105"/>
    </row>
    <row r="1028" spans="1:4" ht="21" customHeight="1">
      <c r="A1028" s="105">
        <v>1027</v>
      </c>
      <c r="B1028" s="105" t="s">
        <v>2479</v>
      </c>
      <c r="C1028" s="105" t="s">
        <v>2480</v>
      </c>
      <c r="D1028" s="105"/>
    </row>
    <row r="1029" spans="1:4" ht="21" customHeight="1">
      <c r="A1029" s="105">
        <v>1028</v>
      </c>
      <c r="B1029" s="105" t="s">
        <v>2481</v>
      </c>
      <c r="C1029" s="105" t="s">
        <v>2482</v>
      </c>
      <c r="D1029" s="105"/>
    </row>
    <row r="1030" spans="1:4" ht="21" customHeight="1">
      <c r="A1030" s="105">
        <v>1029</v>
      </c>
      <c r="B1030" s="105" t="s">
        <v>2483</v>
      </c>
      <c r="C1030" s="105" t="s">
        <v>2484</v>
      </c>
      <c r="D1030" s="105"/>
    </row>
    <row r="1031" spans="1:4" ht="138" customHeight="1">
      <c r="A1031" s="105">
        <v>1030</v>
      </c>
      <c r="B1031" s="105" t="s">
        <v>2485</v>
      </c>
      <c r="C1031" s="105" t="s">
        <v>2486</v>
      </c>
      <c r="D1031" s="105"/>
    </row>
    <row r="1032" spans="1:4" ht="21" customHeight="1">
      <c r="A1032" s="105">
        <v>1031</v>
      </c>
      <c r="B1032" s="105" t="s">
        <v>2487</v>
      </c>
      <c r="C1032" s="105" t="s">
        <v>2488</v>
      </c>
      <c r="D1032" s="105"/>
    </row>
    <row r="1033" spans="1:4" ht="21" customHeight="1">
      <c r="A1033" s="105">
        <v>1032</v>
      </c>
      <c r="B1033" s="105" t="s">
        <v>2489</v>
      </c>
      <c r="C1033" s="105" t="s">
        <v>2490</v>
      </c>
      <c r="D1033" s="105"/>
    </row>
    <row r="1034" spans="1:4" ht="21" customHeight="1">
      <c r="A1034" s="105">
        <v>1033</v>
      </c>
      <c r="B1034" s="105" t="s">
        <v>2491</v>
      </c>
      <c r="C1034" s="105" t="s">
        <v>2492</v>
      </c>
      <c r="D1034" s="105"/>
    </row>
    <row r="1035" spans="1:4" ht="21" customHeight="1">
      <c r="A1035" s="105">
        <v>1034</v>
      </c>
      <c r="B1035" s="105" t="s">
        <v>2493</v>
      </c>
      <c r="C1035" s="105" t="s">
        <v>2494</v>
      </c>
      <c r="D1035" s="105"/>
    </row>
    <row r="1036" spans="1:4" ht="21" customHeight="1">
      <c r="A1036" s="105">
        <v>1035</v>
      </c>
      <c r="B1036" s="105" t="s">
        <v>2495</v>
      </c>
      <c r="C1036" s="105" t="s">
        <v>2423</v>
      </c>
      <c r="D1036" s="105"/>
    </row>
    <row r="1037" spans="1:4" ht="21" customHeight="1">
      <c r="A1037" s="105">
        <v>1036</v>
      </c>
      <c r="B1037" s="105" t="s">
        <v>2496</v>
      </c>
      <c r="C1037" s="105" t="s">
        <v>2497</v>
      </c>
      <c r="D1037" s="105"/>
    </row>
    <row r="1038" spans="1:4" ht="21" customHeight="1">
      <c r="A1038" s="105">
        <v>1037</v>
      </c>
      <c r="B1038" s="105" t="s">
        <v>2498</v>
      </c>
      <c r="C1038" s="105" t="s">
        <v>2499</v>
      </c>
      <c r="D1038" s="105"/>
    </row>
    <row r="1039" spans="1:4" ht="181.5" customHeight="1">
      <c r="A1039" s="105">
        <v>1038</v>
      </c>
      <c r="B1039" s="105" t="s">
        <v>2500</v>
      </c>
      <c r="C1039" s="105" t="s">
        <v>2501</v>
      </c>
      <c r="D1039" s="105"/>
    </row>
    <row r="1040" spans="1:4" ht="21" customHeight="1">
      <c r="A1040" s="105">
        <v>1039</v>
      </c>
      <c r="B1040" s="105" t="s">
        <v>2502</v>
      </c>
      <c r="C1040" s="105" t="s">
        <v>2503</v>
      </c>
      <c r="D1040" s="105"/>
    </row>
    <row r="1041" spans="1:4" ht="21" customHeight="1">
      <c r="A1041" s="105">
        <v>1040</v>
      </c>
      <c r="B1041" s="105" t="s">
        <v>2504</v>
      </c>
      <c r="C1041" s="105" t="s">
        <v>2505</v>
      </c>
      <c r="D1041" s="105"/>
    </row>
    <row r="1042" spans="1:4" ht="21" customHeight="1">
      <c r="A1042" s="105">
        <v>1041</v>
      </c>
      <c r="B1042" s="105" t="s">
        <v>2506</v>
      </c>
      <c r="C1042" s="105" t="s">
        <v>2507</v>
      </c>
      <c r="D1042" s="105"/>
    </row>
    <row r="1043" spans="1:4" ht="162" customHeight="1">
      <c r="A1043" s="105">
        <v>1042</v>
      </c>
      <c r="B1043" s="105" t="s">
        <v>2508</v>
      </c>
      <c r="C1043" s="105" t="s">
        <v>2509</v>
      </c>
      <c r="D1043" s="105"/>
    </row>
    <row r="1044" spans="1:4" ht="21" customHeight="1">
      <c r="A1044" s="105">
        <v>1043</v>
      </c>
      <c r="B1044" s="105" t="s">
        <v>2510</v>
      </c>
      <c r="C1044" s="105" t="s">
        <v>2511</v>
      </c>
      <c r="D1044" s="105"/>
    </row>
    <row r="1045" spans="1:4" ht="21" customHeight="1">
      <c r="A1045" s="105">
        <v>1044</v>
      </c>
      <c r="B1045" s="105" t="s">
        <v>2512</v>
      </c>
      <c r="C1045" s="105" t="s">
        <v>2513</v>
      </c>
      <c r="D1045" s="105"/>
    </row>
    <row r="1046" spans="1:4" ht="21" customHeight="1">
      <c r="A1046" s="105">
        <v>1045</v>
      </c>
      <c r="B1046" s="105" t="s">
        <v>2514</v>
      </c>
      <c r="C1046" s="105" t="s">
        <v>2515</v>
      </c>
      <c r="D1046" s="105"/>
    </row>
    <row r="1047" spans="1:4" ht="21" customHeight="1">
      <c r="A1047" s="105">
        <v>1046</v>
      </c>
      <c r="B1047" s="105" t="s">
        <v>2516</v>
      </c>
      <c r="C1047" s="105" t="s">
        <v>2517</v>
      </c>
      <c r="D1047" s="105"/>
    </row>
    <row r="1048" spans="1:4" ht="21" customHeight="1">
      <c r="A1048" s="105">
        <v>1047</v>
      </c>
      <c r="B1048" s="105" t="s">
        <v>2518</v>
      </c>
      <c r="C1048" s="105" t="s">
        <v>2519</v>
      </c>
      <c r="D1048" s="105"/>
    </row>
    <row r="1049" spans="1:4" ht="21" customHeight="1">
      <c r="A1049" s="105">
        <v>1048</v>
      </c>
      <c r="B1049" s="105" t="s">
        <v>2520</v>
      </c>
      <c r="C1049" s="105" t="s">
        <v>2521</v>
      </c>
      <c r="D1049" s="105"/>
    </row>
    <row r="1050" spans="1:4" ht="21" customHeight="1">
      <c r="A1050" s="105">
        <v>1049</v>
      </c>
      <c r="B1050" s="105" t="s">
        <v>2522</v>
      </c>
      <c r="C1050" s="105" t="s">
        <v>2523</v>
      </c>
      <c r="D1050" s="105"/>
    </row>
    <row r="1051" spans="1:4" ht="21" customHeight="1">
      <c r="A1051" s="105">
        <v>1050</v>
      </c>
      <c r="B1051" s="105" t="s">
        <v>2524</v>
      </c>
      <c r="C1051" s="105" t="s">
        <v>2525</v>
      </c>
      <c r="D1051" s="105"/>
    </row>
    <row r="1052" spans="1:4" ht="21" customHeight="1">
      <c r="A1052" s="105">
        <v>1051</v>
      </c>
      <c r="B1052" s="105" t="s">
        <v>2526</v>
      </c>
      <c r="C1052" s="105" t="s">
        <v>2527</v>
      </c>
      <c r="D1052" s="105"/>
    </row>
    <row r="1053" spans="1:4" ht="21" customHeight="1">
      <c r="A1053" s="105">
        <v>1052</v>
      </c>
      <c r="B1053" s="105" t="s">
        <v>2528</v>
      </c>
      <c r="C1053" s="105" t="s">
        <v>2529</v>
      </c>
      <c r="D1053" s="105"/>
    </row>
    <row r="1054" spans="1:4" ht="21" customHeight="1">
      <c r="A1054" s="105">
        <v>1053</v>
      </c>
      <c r="B1054" s="105" t="s">
        <v>2530</v>
      </c>
      <c r="C1054" s="105" t="s">
        <v>2531</v>
      </c>
      <c r="D1054" s="105"/>
    </row>
    <row r="1055" spans="1:4" ht="23">
      <c r="A1055" s="105">
        <v>1054</v>
      </c>
      <c r="B1055" s="105" t="s">
        <v>2532</v>
      </c>
      <c r="C1055" s="105" t="s">
        <v>4062</v>
      </c>
      <c r="D1055" s="105"/>
    </row>
    <row r="1056" spans="1:4" ht="21" customHeight="1">
      <c r="A1056" s="105">
        <v>1055</v>
      </c>
      <c r="B1056" s="105" t="s">
        <v>2533</v>
      </c>
      <c r="C1056" s="105" t="s">
        <v>2534</v>
      </c>
      <c r="D1056" s="105"/>
    </row>
    <row r="1057" spans="1:4" ht="21" customHeight="1">
      <c r="A1057" s="105">
        <v>1056</v>
      </c>
      <c r="B1057" s="105" t="s">
        <v>2535</v>
      </c>
      <c r="C1057" s="105" t="s">
        <v>2536</v>
      </c>
      <c r="D1057" s="105"/>
    </row>
    <row r="1058" spans="1:4" ht="21" customHeight="1">
      <c r="A1058" s="105">
        <v>1057</v>
      </c>
      <c r="B1058" s="105" t="s">
        <v>2537</v>
      </c>
      <c r="C1058" s="105" t="s">
        <v>2538</v>
      </c>
      <c r="D1058" s="105"/>
    </row>
    <row r="1059" spans="1:4" ht="21" customHeight="1">
      <c r="A1059" s="105">
        <v>1058</v>
      </c>
      <c r="B1059" s="105" t="s">
        <v>2539</v>
      </c>
      <c r="C1059" s="105" t="s">
        <v>2540</v>
      </c>
      <c r="D1059" s="105"/>
    </row>
    <row r="1060" spans="1:4" ht="21" customHeight="1">
      <c r="A1060" s="105">
        <v>1059</v>
      </c>
      <c r="B1060" s="105" t="s">
        <v>2541</v>
      </c>
      <c r="C1060" s="105" t="s">
        <v>2542</v>
      </c>
      <c r="D1060" s="105"/>
    </row>
    <row r="1061" spans="1:4" ht="21" customHeight="1">
      <c r="A1061" s="105">
        <v>1060</v>
      </c>
      <c r="B1061" s="105" t="s">
        <v>2543</v>
      </c>
      <c r="C1061" s="105" t="s">
        <v>2544</v>
      </c>
      <c r="D1061" s="105"/>
    </row>
    <row r="1062" spans="1:4" ht="21" customHeight="1">
      <c r="A1062" s="105">
        <v>1061</v>
      </c>
      <c r="B1062" s="105" t="s">
        <v>2545</v>
      </c>
      <c r="C1062" s="105" t="s">
        <v>2546</v>
      </c>
      <c r="D1062" s="105"/>
    </row>
    <row r="1063" spans="1:4" ht="21" customHeight="1">
      <c r="A1063" s="105">
        <v>1062</v>
      </c>
      <c r="B1063" s="105" t="s">
        <v>2547</v>
      </c>
      <c r="C1063" s="105" t="s">
        <v>2548</v>
      </c>
      <c r="D1063" s="105"/>
    </row>
    <row r="1064" spans="1:4" ht="21" customHeight="1">
      <c r="A1064" s="105">
        <v>1063</v>
      </c>
      <c r="B1064" s="105" t="s">
        <v>2549</v>
      </c>
      <c r="C1064" s="105" t="s">
        <v>2550</v>
      </c>
      <c r="D1064" s="105"/>
    </row>
    <row r="1065" spans="1:4" ht="21" customHeight="1">
      <c r="A1065" s="105">
        <v>1064</v>
      </c>
      <c r="B1065" s="105" t="s">
        <v>2551</v>
      </c>
      <c r="C1065" s="105" t="s">
        <v>2552</v>
      </c>
      <c r="D1065" s="105"/>
    </row>
    <row r="1066" spans="1:4" ht="21" customHeight="1">
      <c r="A1066" s="105">
        <v>1065</v>
      </c>
      <c r="B1066" s="105" t="s">
        <v>2553</v>
      </c>
      <c r="C1066" s="105" t="s">
        <v>2554</v>
      </c>
      <c r="D1066" s="105"/>
    </row>
    <row r="1067" spans="1:4" ht="21" customHeight="1">
      <c r="A1067" s="105">
        <v>1066</v>
      </c>
      <c r="B1067" s="105" t="s">
        <v>2555</v>
      </c>
      <c r="C1067" s="105" t="s">
        <v>2556</v>
      </c>
      <c r="D1067" s="105"/>
    </row>
    <row r="1068" spans="1:4" ht="21" customHeight="1">
      <c r="A1068" s="105">
        <v>1067</v>
      </c>
      <c r="B1068" s="105" t="s">
        <v>2557</v>
      </c>
      <c r="C1068" s="105" t="s">
        <v>2558</v>
      </c>
      <c r="D1068" s="105"/>
    </row>
    <row r="1069" spans="1:4" ht="21" customHeight="1">
      <c r="A1069" s="105">
        <v>1068</v>
      </c>
      <c r="B1069" s="105" t="s">
        <v>2559</v>
      </c>
      <c r="C1069" s="105" t="s">
        <v>2560</v>
      </c>
      <c r="D1069" s="105"/>
    </row>
    <row r="1070" spans="1:4" ht="21" customHeight="1">
      <c r="A1070" s="105">
        <v>1069</v>
      </c>
      <c r="B1070" s="105" t="s">
        <v>2561</v>
      </c>
      <c r="C1070" s="105" t="s">
        <v>2562</v>
      </c>
      <c r="D1070" s="105"/>
    </row>
    <row r="1071" spans="1:4" ht="21" customHeight="1">
      <c r="A1071" s="105">
        <v>1070</v>
      </c>
      <c r="B1071" s="105" t="s">
        <v>2563</v>
      </c>
      <c r="C1071" s="105" t="s">
        <v>2564</v>
      </c>
      <c r="D1071" s="105"/>
    </row>
    <row r="1072" spans="1:4" ht="21" customHeight="1">
      <c r="A1072" s="105">
        <v>1071</v>
      </c>
      <c r="B1072" s="105" t="s">
        <v>2565</v>
      </c>
      <c r="C1072" s="105" t="s">
        <v>2566</v>
      </c>
      <c r="D1072" s="105"/>
    </row>
    <row r="1073" spans="1:4" ht="21" customHeight="1">
      <c r="A1073" s="105">
        <v>1072</v>
      </c>
      <c r="B1073" s="105" t="s">
        <v>2567</v>
      </c>
      <c r="C1073" s="105" t="s">
        <v>2568</v>
      </c>
      <c r="D1073" s="105"/>
    </row>
    <row r="1074" spans="1:4" ht="21" customHeight="1">
      <c r="A1074" s="105">
        <v>1073</v>
      </c>
      <c r="B1074" s="105" t="s">
        <v>2569</v>
      </c>
      <c r="C1074" s="105" t="s">
        <v>2570</v>
      </c>
      <c r="D1074" s="105"/>
    </row>
    <row r="1075" spans="1:4" ht="21" customHeight="1">
      <c r="A1075" s="105">
        <v>1074</v>
      </c>
      <c r="B1075" s="105" t="s">
        <v>2571</v>
      </c>
      <c r="C1075" s="105" t="s">
        <v>1529</v>
      </c>
      <c r="D1075" s="105"/>
    </row>
    <row r="1076" spans="1:4" ht="21" customHeight="1">
      <c r="A1076" s="105">
        <v>1075</v>
      </c>
      <c r="B1076" s="105" t="s">
        <v>2572</v>
      </c>
      <c r="C1076" s="105" t="s">
        <v>2573</v>
      </c>
      <c r="D1076" s="105"/>
    </row>
    <row r="1077" spans="1:4" ht="21" customHeight="1">
      <c r="A1077" s="105">
        <v>1076</v>
      </c>
      <c r="B1077" s="105" t="s">
        <v>2574</v>
      </c>
      <c r="C1077" s="105" t="s">
        <v>2575</v>
      </c>
      <c r="D1077" s="105"/>
    </row>
    <row r="1078" spans="1:4" ht="21" customHeight="1">
      <c r="A1078" s="105">
        <v>1077</v>
      </c>
      <c r="B1078" s="105" t="s">
        <v>2576</v>
      </c>
      <c r="C1078" s="105" t="s">
        <v>2577</v>
      </c>
      <c r="D1078" s="105"/>
    </row>
    <row r="1079" spans="1:4" ht="21" customHeight="1">
      <c r="A1079" s="105">
        <v>1078</v>
      </c>
      <c r="B1079" s="105" t="s">
        <v>2578</v>
      </c>
      <c r="C1079" s="105" t="s">
        <v>2579</v>
      </c>
      <c r="D1079" s="105"/>
    </row>
    <row r="1080" spans="1:4" ht="21" customHeight="1">
      <c r="A1080" s="105">
        <v>1079</v>
      </c>
      <c r="B1080" s="105" t="s">
        <v>2580</v>
      </c>
      <c r="C1080" s="105" t="s">
        <v>2581</v>
      </c>
      <c r="D1080" s="105"/>
    </row>
    <row r="1081" spans="1:4" ht="144.75" customHeight="1">
      <c r="A1081" s="105">
        <v>1080</v>
      </c>
      <c r="B1081" s="105" t="s">
        <v>2582</v>
      </c>
      <c r="C1081" s="105" t="s">
        <v>1228</v>
      </c>
      <c r="D1081" s="105"/>
    </row>
    <row r="1082" spans="1:4" ht="21" customHeight="1">
      <c r="A1082" s="105">
        <v>1081</v>
      </c>
      <c r="B1082" s="105" t="s">
        <v>2583</v>
      </c>
      <c r="C1082" s="105" t="s">
        <v>2584</v>
      </c>
      <c r="D1082" s="105"/>
    </row>
    <row r="1083" spans="1:4" ht="21" customHeight="1">
      <c r="A1083" s="105">
        <v>1082</v>
      </c>
      <c r="B1083" s="105" t="s">
        <v>2585</v>
      </c>
      <c r="C1083" s="105" t="s">
        <v>2586</v>
      </c>
      <c r="D1083" s="105"/>
    </row>
    <row r="1084" spans="1:4" ht="21" customHeight="1">
      <c r="A1084" s="105">
        <v>1083</v>
      </c>
      <c r="B1084" s="105" t="s">
        <v>2587</v>
      </c>
      <c r="C1084" s="105" t="s">
        <v>2588</v>
      </c>
      <c r="D1084" s="105"/>
    </row>
    <row r="1085" spans="1:4" ht="21" customHeight="1">
      <c r="A1085" s="105">
        <v>1084</v>
      </c>
      <c r="B1085" s="105" t="s">
        <v>2589</v>
      </c>
      <c r="C1085" s="105" t="s">
        <v>2590</v>
      </c>
      <c r="D1085" s="105"/>
    </row>
    <row r="1086" spans="1:4" ht="21" customHeight="1">
      <c r="A1086" s="105">
        <v>1085</v>
      </c>
      <c r="B1086" s="105" t="s">
        <v>2591</v>
      </c>
      <c r="C1086" s="105" t="s">
        <v>2592</v>
      </c>
      <c r="D1086" s="105"/>
    </row>
    <row r="1087" spans="1:4" ht="21" customHeight="1">
      <c r="A1087" s="105">
        <v>1086</v>
      </c>
      <c r="B1087" s="105" t="s">
        <v>2593</v>
      </c>
      <c r="C1087" s="105" t="s">
        <v>2594</v>
      </c>
      <c r="D1087" s="105"/>
    </row>
    <row r="1088" spans="1:4" ht="21" customHeight="1">
      <c r="A1088" s="105">
        <v>1087</v>
      </c>
      <c r="B1088" s="105" t="s">
        <v>2595</v>
      </c>
      <c r="C1088" s="105" t="s">
        <v>1411</v>
      </c>
      <c r="D1088" s="105"/>
    </row>
    <row r="1089" spans="1:4" ht="21" customHeight="1">
      <c r="A1089" s="105">
        <v>1088</v>
      </c>
      <c r="B1089" s="105" t="s">
        <v>2596</v>
      </c>
      <c r="C1089" s="105" t="s">
        <v>2597</v>
      </c>
      <c r="D1089" s="105"/>
    </row>
    <row r="1090" spans="1:4" ht="21" customHeight="1">
      <c r="A1090" s="105">
        <v>1089</v>
      </c>
      <c r="B1090" s="105" t="s">
        <v>2598</v>
      </c>
      <c r="C1090" s="105" t="s">
        <v>2599</v>
      </c>
      <c r="D1090" s="105"/>
    </row>
    <row r="1091" spans="1:4" ht="21" customHeight="1">
      <c r="A1091" s="105">
        <v>1090</v>
      </c>
      <c r="B1091" s="105" t="s">
        <v>2600</v>
      </c>
      <c r="C1091" s="105" t="s">
        <v>2601</v>
      </c>
      <c r="D1091" s="105"/>
    </row>
    <row r="1092" spans="1:4" ht="21" customHeight="1">
      <c r="A1092" s="105">
        <v>1091</v>
      </c>
      <c r="B1092" s="105" t="s">
        <v>2602</v>
      </c>
      <c r="C1092" s="105" t="s">
        <v>2603</v>
      </c>
      <c r="D1092" s="105"/>
    </row>
    <row r="1093" spans="1:4" ht="21" customHeight="1">
      <c r="A1093" s="105">
        <v>1092</v>
      </c>
      <c r="B1093" s="105" t="s">
        <v>2604</v>
      </c>
      <c r="C1093" s="105" t="s">
        <v>2605</v>
      </c>
      <c r="D1093" s="105"/>
    </row>
    <row r="1094" spans="1:4" ht="21" customHeight="1">
      <c r="A1094" s="105">
        <v>1093</v>
      </c>
      <c r="B1094" s="105" t="s">
        <v>2606</v>
      </c>
      <c r="C1094" s="105" t="s">
        <v>2607</v>
      </c>
      <c r="D1094" s="105"/>
    </row>
    <row r="1095" spans="1:4" ht="21" customHeight="1">
      <c r="A1095" s="105">
        <v>1094</v>
      </c>
      <c r="B1095" s="105" t="s">
        <v>2608</v>
      </c>
      <c r="C1095" s="105" t="s">
        <v>2609</v>
      </c>
      <c r="D1095" s="105"/>
    </row>
    <row r="1096" spans="1:4" ht="156" customHeight="1">
      <c r="A1096" s="105">
        <v>1095</v>
      </c>
      <c r="B1096" s="105" t="s">
        <v>2610</v>
      </c>
      <c r="C1096" s="105" t="s">
        <v>2611</v>
      </c>
      <c r="D1096" s="105"/>
    </row>
    <row r="1097" spans="1:4" ht="21" customHeight="1">
      <c r="A1097" s="105">
        <v>1096</v>
      </c>
      <c r="B1097" s="105" t="s">
        <v>2612</v>
      </c>
      <c r="C1097" s="105" t="s">
        <v>2613</v>
      </c>
      <c r="D1097" s="105"/>
    </row>
    <row r="1098" spans="1:4" ht="21" customHeight="1">
      <c r="A1098" s="105">
        <v>1097</v>
      </c>
      <c r="B1098" s="105" t="s">
        <v>2614</v>
      </c>
      <c r="C1098" s="105" t="s">
        <v>2615</v>
      </c>
      <c r="D1098" s="105"/>
    </row>
    <row r="1099" spans="1:4" ht="21" customHeight="1">
      <c r="A1099" s="105">
        <v>1098</v>
      </c>
      <c r="B1099" s="105" t="s">
        <v>2616</v>
      </c>
      <c r="C1099" s="105" t="s">
        <v>2617</v>
      </c>
      <c r="D1099" s="105"/>
    </row>
    <row r="1100" spans="1:4" ht="130.5" customHeight="1">
      <c r="A1100" s="105">
        <v>1099</v>
      </c>
      <c r="B1100" s="105" t="s">
        <v>2618</v>
      </c>
      <c r="C1100" s="105" t="s">
        <v>1123</v>
      </c>
      <c r="D1100" s="105"/>
    </row>
    <row r="1101" spans="1:4" ht="21" customHeight="1">
      <c r="A1101" s="105">
        <v>1100</v>
      </c>
      <c r="B1101" s="105" t="s">
        <v>2619</v>
      </c>
      <c r="C1101" s="105" t="s">
        <v>2620</v>
      </c>
      <c r="D1101" s="105"/>
    </row>
    <row r="1102" spans="1:4" ht="21" customHeight="1">
      <c r="A1102" s="105">
        <v>1101</v>
      </c>
      <c r="B1102" s="105" t="s">
        <v>2621</v>
      </c>
      <c r="C1102" s="105" t="s">
        <v>2622</v>
      </c>
      <c r="D1102" s="105"/>
    </row>
    <row r="1103" spans="1:4" ht="21" customHeight="1">
      <c r="A1103" s="105">
        <v>1102</v>
      </c>
      <c r="B1103" s="105" t="s">
        <v>2623</v>
      </c>
      <c r="C1103" s="105" t="s">
        <v>2624</v>
      </c>
      <c r="D1103" s="105"/>
    </row>
    <row r="1104" spans="1:4" ht="222" customHeight="1">
      <c r="A1104" s="105">
        <v>1103</v>
      </c>
      <c r="B1104" s="105" t="s">
        <v>2625</v>
      </c>
      <c r="C1104" s="105" t="s">
        <v>2626</v>
      </c>
      <c r="D1104" s="105"/>
    </row>
    <row r="1105" spans="1:4" ht="21" customHeight="1">
      <c r="A1105" s="105">
        <v>1104</v>
      </c>
      <c r="B1105" s="105" t="s">
        <v>2627</v>
      </c>
      <c r="C1105" s="105" t="s">
        <v>1499</v>
      </c>
      <c r="D1105" s="105"/>
    </row>
    <row r="1106" spans="1:4" ht="21" customHeight="1">
      <c r="A1106" s="105">
        <v>1105</v>
      </c>
      <c r="B1106" s="105" t="s">
        <v>2628</v>
      </c>
      <c r="C1106" s="105" t="s">
        <v>2629</v>
      </c>
      <c r="D1106" s="105"/>
    </row>
    <row r="1107" spans="1:4" ht="21" customHeight="1">
      <c r="A1107" s="105">
        <v>1106</v>
      </c>
      <c r="B1107" s="105" t="s">
        <v>2630</v>
      </c>
      <c r="C1107" s="105" t="s">
        <v>2631</v>
      </c>
      <c r="D1107" s="105"/>
    </row>
    <row r="1108" spans="1:4" ht="21" customHeight="1">
      <c r="A1108" s="105">
        <v>1107</v>
      </c>
      <c r="B1108" s="105" t="s">
        <v>2632</v>
      </c>
      <c r="C1108" s="105" t="s">
        <v>2633</v>
      </c>
      <c r="D1108" s="105"/>
    </row>
    <row r="1109" spans="1:4" ht="21" customHeight="1">
      <c r="A1109" s="105">
        <v>1108</v>
      </c>
      <c r="B1109" s="105" t="s">
        <v>2634</v>
      </c>
      <c r="C1109" s="105" t="s">
        <v>2635</v>
      </c>
      <c r="D1109" s="105"/>
    </row>
    <row r="1110" spans="1:4" ht="21" customHeight="1">
      <c r="A1110" s="105">
        <v>1109</v>
      </c>
      <c r="B1110" s="105" t="s">
        <v>2636</v>
      </c>
      <c r="C1110" s="105" t="s">
        <v>2637</v>
      </c>
      <c r="D1110" s="105"/>
    </row>
    <row r="1111" spans="1:4" ht="21" customHeight="1">
      <c r="A1111" s="105">
        <v>1110</v>
      </c>
      <c r="B1111" s="105" t="s">
        <v>2638</v>
      </c>
      <c r="C1111" s="105" t="s">
        <v>2639</v>
      </c>
      <c r="D1111" s="105"/>
    </row>
    <row r="1112" spans="1:4" ht="21" customHeight="1">
      <c r="A1112" s="105">
        <v>1111</v>
      </c>
      <c r="B1112" s="105" t="s">
        <v>2640</v>
      </c>
      <c r="C1112" s="105" t="s">
        <v>2641</v>
      </c>
      <c r="D1112" s="105"/>
    </row>
    <row r="1113" spans="1:4" ht="21" customHeight="1">
      <c r="A1113" s="105">
        <v>1112</v>
      </c>
      <c r="B1113" s="105" t="s">
        <v>2642</v>
      </c>
      <c r="C1113" s="105" t="s">
        <v>2643</v>
      </c>
      <c r="D1113" s="105"/>
    </row>
    <row r="1114" spans="1:4" ht="21" customHeight="1">
      <c r="A1114" s="105">
        <v>1113</v>
      </c>
      <c r="B1114" s="105" t="s">
        <v>2644</v>
      </c>
      <c r="C1114" s="105" t="s">
        <v>2645</v>
      </c>
      <c r="D1114" s="105"/>
    </row>
    <row r="1115" spans="1:4" ht="21" customHeight="1">
      <c r="A1115" s="105">
        <v>1114</v>
      </c>
      <c r="B1115" s="105" t="s">
        <v>2646</v>
      </c>
      <c r="C1115" s="105" t="s">
        <v>2647</v>
      </c>
      <c r="D1115" s="105"/>
    </row>
    <row r="1116" spans="1:4" ht="21" customHeight="1">
      <c r="A1116" s="105">
        <v>1115</v>
      </c>
      <c r="B1116" s="105" t="s">
        <v>2648</v>
      </c>
      <c r="C1116" s="105" t="s">
        <v>2649</v>
      </c>
      <c r="D1116" s="105"/>
    </row>
    <row r="1117" spans="1:4" ht="21" customHeight="1">
      <c r="A1117" s="105">
        <v>1116</v>
      </c>
      <c r="B1117" s="105" t="s">
        <v>2650</v>
      </c>
      <c r="C1117" s="105" t="s">
        <v>2651</v>
      </c>
      <c r="D1117" s="105"/>
    </row>
    <row r="1118" spans="1:4" ht="21" customHeight="1">
      <c r="A1118" s="105">
        <v>1117</v>
      </c>
      <c r="B1118" s="105" t="s">
        <v>2652</v>
      </c>
      <c r="C1118" s="105" t="s">
        <v>2653</v>
      </c>
      <c r="D1118" s="105"/>
    </row>
    <row r="1119" spans="1:4" ht="21" customHeight="1">
      <c r="A1119" s="105">
        <v>1118</v>
      </c>
      <c r="B1119" s="105" t="s">
        <v>2654</v>
      </c>
      <c r="C1119" s="105" t="s">
        <v>2655</v>
      </c>
      <c r="D1119" s="105"/>
    </row>
    <row r="1120" spans="1:4" ht="21" customHeight="1">
      <c r="A1120" s="105">
        <v>1119</v>
      </c>
      <c r="B1120" s="105" t="s">
        <v>2656</v>
      </c>
      <c r="C1120" s="105" t="s">
        <v>2657</v>
      </c>
      <c r="D1120" s="105"/>
    </row>
    <row r="1121" spans="1:4" ht="21" customHeight="1">
      <c r="A1121" s="105">
        <v>1120</v>
      </c>
      <c r="B1121" s="105" t="s">
        <v>2658</v>
      </c>
      <c r="C1121" s="105" t="s">
        <v>2659</v>
      </c>
      <c r="D1121" s="105"/>
    </row>
    <row r="1122" spans="1:4" ht="21" customHeight="1">
      <c r="A1122" s="105">
        <v>1121</v>
      </c>
      <c r="B1122" s="105" t="s">
        <v>2660</v>
      </c>
      <c r="C1122" s="105" t="s">
        <v>2661</v>
      </c>
      <c r="D1122" s="105"/>
    </row>
    <row r="1123" spans="1:4" ht="21" customHeight="1">
      <c r="A1123" s="105">
        <v>1122</v>
      </c>
      <c r="B1123" s="105" t="s">
        <v>2662</v>
      </c>
      <c r="C1123" s="105" t="s">
        <v>2663</v>
      </c>
      <c r="D1123" s="105"/>
    </row>
    <row r="1124" spans="1:4" ht="21" customHeight="1">
      <c r="A1124" s="105">
        <v>1123</v>
      </c>
      <c r="B1124" s="105" t="s">
        <v>2664</v>
      </c>
      <c r="C1124" s="105" t="s">
        <v>2665</v>
      </c>
      <c r="D1124" s="105"/>
    </row>
    <row r="1125" spans="1:4" ht="21" customHeight="1">
      <c r="A1125" s="105">
        <v>1124</v>
      </c>
      <c r="B1125" s="105" t="s">
        <v>2666</v>
      </c>
      <c r="C1125" s="105" t="s">
        <v>2667</v>
      </c>
      <c r="D1125" s="105"/>
    </row>
    <row r="1126" spans="1:4" ht="21" customHeight="1">
      <c r="A1126" s="105">
        <v>1125</v>
      </c>
      <c r="B1126" s="105" t="s">
        <v>2668</v>
      </c>
      <c r="C1126" s="105" t="s">
        <v>2669</v>
      </c>
      <c r="D1126" s="105"/>
    </row>
    <row r="1127" spans="1:4" ht="174.75" customHeight="1">
      <c r="A1127" s="105">
        <v>1126</v>
      </c>
      <c r="B1127" s="105" t="s">
        <v>2670</v>
      </c>
      <c r="C1127" s="105" t="s">
        <v>2089</v>
      </c>
      <c r="D1127" s="105"/>
    </row>
    <row r="1128" spans="1:4" ht="21" customHeight="1">
      <c r="A1128" s="105">
        <v>1127</v>
      </c>
      <c r="B1128" s="105" t="s">
        <v>2671</v>
      </c>
      <c r="C1128" s="105" t="s">
        <v>2672</v>
      </c>
      <c r="D1128" s="105"/>
    </row>
    <row r="1129" spans="1:4" ht="21" customHeight="1">
      <c r="A1129" s="105">
        <v>1128</v>
      </c>
      <c r="B1129" s="105" t="s">
        <v>2673</v>
      </c>
      <c r="C1129" s="105" t="s">
        <v>2674</v>
      </c>
      <c r="D1129" s="105"/>
    </row>
    <row r="1130" spans="1:4" ht="21" customHeight="1">
      <c r="A1130" s="105">
        <v>1129</v>
      </c>
      <c r="B1130" s="105" t="s">
        <v>2675</v>
      </c>
      <c r="C1130" s="105" t="s">
        <v>2676</v>
      </c>
      <c r="D1130" s="105"/>
    </row>
    <row r="1131" spans="1:4" ht="21" customHeight="1">
      <c r="A1131" s="105">
        <v>1130</v>
      </c>
      <c r="B1131" s="105" t="s">
        <v>2677</v>
      </c>
      <c r="C1131" s="105" t="s">
        <v>2678</v>
      </c>
      <c r="D1131" s="105"/>
    </row>
    <row r="1132" spans="1:4" ht="21" customHeight="1">
      <c r="A1132" s="105">
        <v>1131</v>
      </c>
      <c r="B1132" s="105" t="s">
        <v>2679</v>
      </c>
      <c r="C1132" s="105" t="s">
        <v>2680</v>
      </c>
      <c r="D1132" s="105"/>
    </row>
    <row r="1133" spans="1:4" ht="21" customHeight="1">
      <c r="A1133" s="105">
        <v>1132</v>
      </c>
      <c r="B1133" s="105" t="s">
        <v>2681</v>
      </c>
      <c r="C1133" s="105" t="s">
        <v>2682</v>
      </c>
      <c r="D1133" s="105"/>
    </row>
    <row r="1134" spans="1:4" ht="21" customHeight="1">
      <c r="A1134" s="105">
        <v>1133</v>
      </c>
      <c r="B1134" s="105" t="s">
        <v>2683</v>
      </c>
      <c r="C1134" s="105" t="s">
        <v>2684</v>
      </c>
      <c r="D1134" s="105"/>
    </row>
    <row r="1135" spans="1:4" ht="21" customHeight="1">
      <c r="A1135" s="105">
        <v>1134</v>
      </c>
      <c r="B1135" s="105" t="s">
        <v>2685</v>
      </c>
      <c r="C1135" s="105" t="s">
        <v>2686</v>
      </c>
      <c r="D1135" s="105"/>
    </row>
    <row r="1136" spans="1:4" ht="21" customHeight="1">
      <c r="A1136" s="105">
        <v>1135</v>
      </c>
      <c r="B1136" s="105" t="s">
        <v>2687</v>
      </c>
      <c r="C1136" s="105" t="s">
        <v>2688</v>
      </c>
      <c r="D1136" s="105"/>
    </row>
    <row r="1137" spans="1:4" ht="21" customHeight="1">
      <c r="A1137" s="105">
        <v>1136</v>
      </c>
      <c r="B1137" s="105" t="s">
        <v>2689</v>
      </c>
      <c r="C1137" s="105" t="s">
        <v>2690</v>
      </c>
      <c r="D1137" s="105"/>
    </row>
    <row r="1138" spans="1:4" ht="21" customHeight="1">
      <c r="A1138" s="105">
        <v>1137</v>
      </c>
      <c r="B1138" s="105" t="s">
        <v>2691</v>
      </c>
      <c r="C1138" s="105" t="s">
        <v>2692</v>
      </c>
      <c r="D1138" s="105"/>
    </row>
    <row r="1139" spans="1:4" ht="21" customHeight="1">
      <c r="A1139" s="105">
        <v>1138</v>
      </c>
      <c r="B1139" s="105" t="s">
        <v>2693</v>
      </c>
      <c r="C1139" s="105" t="s">
        <v>2694</v>
      </c>
      <c r="D1139" s="105"/>
    </row>
    <row r="1140" spans="1:4" ht="21" customHeight="1">
      <c r="A1140" s="105">
        <v>1139</v>
      </c>
      <c r="B1140" s="105" t="s">
        <v>2695</v>
      </c>
      <c r="C1140" s="105" t="s">
        <v>2696</v>
      </c>
      <c r="D1140" s="105"/>
    </row>
    <row r="1141" spans="1:4" ht="21" customHeight="1">
      <c r="A1141" s="105">
        <v>1140</v>
      </c>
      <c r="B1141" s="105" t="s">
        <v>2697</v>
      </c>
      <c r="C1141" s="105" t="s">
        <v>2698</v>
      </c>
      <c r="D1141" s="105"/>
    </row>
    <row r="1142" spans="1:4" ht="21" customHeight="1">
      <c r="A1142" s="105">
        <v>1141</v>
      </c>
      <c r="B1142" s="105" t="s">
        <v>2699</v>
      </c>
      <c r="C1142" s="105" t="s">
        <v>2700</v>
      </c>
      <c r="D1142" s="105"/>
    </row>
    <row r="1143" spans="1:4" ht="21" customHeight="1">
      <c r="A1143" s="105">
        <v>1142</v>
      </c>
      <c r="B1143" s="105" t="s">
        <v>2701</v>
      </c>
      <c r="C1143" s="105" t="s">
        <v>2702</v>
      </c>
      <c r="D1143" s="105"/>
    </row>
    <row r="1144" spans="1:4" ht="21" customHeight="1">
      <c r="A1144" s="105">
        <v>1143</v>
      </c>
      <c r="B1144" s="105" t="s">
        <v>2703</v>
      </c>
      <c r="C1144" s="105" t="s">
        <v>2704</v>
      </c>
      <c r="D1144" s="105"/>
    </row>
    <row r="1145" spans="1:4" ht="21" customHeight="1">
      <c r="A1145" s="105">
        <v>1144</v>
      </c>
      <c r="B1145" s="105" t="s">
        <v>2705</v>
      </c>
      <c r="C1145" s="105" t="s">
        <v>2706</v>
      </c>
      <c r="D1145" s="105"/>
    </row>
    <row r="1146" spans="1:4" ht="21" customHeight="1">
      <c r="A1146" s="105">
        <v>1145</v>
      </c>
      <c r="B1146" s="105" t="s">
        <v>2707</v>
      </c>
      <c r="C1146" s="105" t="s">
        <v>2708</v>
      </c>
      <c r="D1146" s="105"/>
    </row>
    <row r="1147" spans="1:4" ht="21" customHeight="1">
      <c r="A1147" s="105">
        <v>1146</v>
      </c>
      <c r="B1147" s="105" t="s">
        <v>2709</v>
      </c>
      <c r="C1147" s="105" t="s">
        <v>2710</v>
      </c>
      <c r="D1147" s="105"/>
    </row>
    <row r="1148" spans="1:4" ht="21" customHeight="1">
      <c r="A1148" s="105">
        <v>1147</v>
      </c>
      <c r="B1148" s="105" t="s">
        <v>2711</v>
      </c>
      <c r="C1148" s="105" t="s">
        <v>2712</v>
      </c>
      <c r="D1148" s="105"/>
    </row>
    <row r="1149" spans="1:4" ht="21" customHeight="1">
      <c r="A1149" s="105">
        <v>1148</v>
      </c>
      <c r="B1149" s="105" t="s">
        <v>2713</v>
      </c>
      <c r="C1149" s="105" t="s">
        <v>2714</v>
      </c>
      <c r="D1149" s="105"/>
    </row>
    <row r="1150" spans="1:4" ht="21" customHeight="1">
      <c r="A1150" s="105">
        <v>1149</v>
      </c>
      <c r="B1150" s="105" t="s">
        <v>2715</v>
      </c>
      <c r="C1150" s="105" t="s">
        <v>2716</v>
      </c>
      <c r="D1150" s="105"/>
    </row>
    <row r="1151" spans="1:4" ht="21" customHeight="1">
      <c r="A1151" s="105">
        <v>1150</v>
      </c>
      <c r="B1151" s="105" t="s">
        <v>2717</v>
      </c>
      <c r="C1151" s="105" t="s">
        <v>2718</v>
      </c>
      <c r="D1151" s="105"/>
    </row>
    <row r="1152" spans="1:4" ht="21" customHeight="1">
      <c r="A1152" s="105">
        <v>1151</v>
      </c>
      <c r="B1152" s="105" t="s">
        <v>2719</v>
      </c>
      <c r="C1152" s="105" t="s">
        <v>2720</v>
      </c>
      <c r="D1152" s="105"/>
    </row>
    <row r="1153" spans="1:4" ht="21" customHeight="1">
      <c r="A1153" s="105">
        <v>1152</v>
      </c>
      <c r="B1153" s="105" t="s">
        <v>2721</v>
      </c>
      <c r="C1153" s="105" t="s">
        <v>2722</v>
      </c>
      <c r="D1153" s="105"/>
    </row>
    <row r="1154" spans="1:4" ht="147.75" customHeight="1">
      <c r="A1154" s="105">
        <v>1153</v>
      </c>
      <c r="B1154" s="105" t="s">
        <v>2723</v>
      </c>
      <c r="C1154" s="105" t="s">
        <v>2724</v>
      </c>
      <c r="D1154" s="105"/>
    </row>
    <row r="1155" spans="1:4" ht="111.75" customHeight="1">
      <c r="A1155" s="105">
        <v>1154</v>
      </c>
      <c r="B1155" s="105" t="s">
        <v>2725</v>
      </c>
      <c r="C1155" s="105" t="s">
        <v>4063</v>
      </c>
      <c r="D1155" s="105"/>
    </row>
    <row r="1156" spans="1:4" ht="21" customHeight="1">
      <c r="A1156" s="105">
        <v>1155</v>
      </c>
      <c r="B1156" s="105" t="s">
        <v>2726</v>
      </c>
      <c r="C1156" s="105" t="s">
        <v>2727</v>
      </c>
      <c r="D1156" s="105"/>
    </row>
    <row r="1157" spans="1:4" ht="21" customHeight="1">
      <c r="A1157" s="105">
        <v>1156</v>
      </c>
      <c r="B1157" s="105" t="s">
        <v>2728</v>
      </c>
      <c r="C1157" s="105" t="s">
        <v>2729</v>
      </c>
      <c r="D1157" s="105"/>
    </row>
    <row r="1158" spans="1:4" ht="21" customHeight="1">
      <c r="A1158" s="105">
        <v>1157</v>
      </c>
      <c r="B1158" s="105" t="s">
        <v>2730</v>
      </c>
      <c r="C1158" s="105" t="s">
        <v>2731</v>
      </c>
      <c r="D1158" s="105"/>
    </row>
    <row r="1159" spans="1:4" ht="21" customHeight="1">
      <c r="A1159" s="105">
        <v>1158</v>
      </c>
      <c r="B1159" s="105" t="s">
        <v>2732</v>
      </c>
      <c r="C1159" s="105" t="s">
        <v>2733</v>
      </c>
      <c r="D1159" s="105"/>
    </row>
    <row r="1160" spans="1:4" ht="21" customHeight="1">
      <c r="A1160" s="105">
        <v>1159</v>
      </c>
      <c r="B1160" s="105" t="s">
        <v>2734</v>
      </c>
      <c r="C1160" s="105" t="s">
        <v>2735</v>
      </c>
      <c r="D1160" s="105"/>
    </row>
    <row r="1161" spans="1:4" ht="21" customHeight="1">
      <c r="A1161" s="105">
        <v>1160</v>
      </c>
      <c r="B1161" s="105" t="s">
        <v>2736</v>
      </c>
      <c r="C1161" s="105" t="s">
        <v>2737</v>
      </c>
      <c r="D1161" s="105"/>
    </row>
    <row r="1162" spans="1:4" ht="21" customHeight="1">
      <c r="A1162" s="105">
        <v>1161</v>
      </c>
      <c r="B1162" s="105" t="s">
        <v>2738</v>
      </c>
      <c r="C1162" s="105" t="s">
        <v>2739</v>
      </c>
      <c r="D1162" s="105"/>
    </row>
    <row r="1163" spans="1:4" ht="21" customHeight="1">
      <c r="A1163" s="105">
        <v>1162</v>
      </c>
      <c r="B1163" s="105" t="s">
        <v>2740</v>
      </c>
      <c r="C1163" s="105" t="s">
        <v>2741</v>
      </c>
      <c r="D1163" s="105"/>
    </row>
    <row r="1164" spans="1:4" ht="21" customHeight="1">
      <c r="A1164" s="105">
        <v>1163</v>
      </c>
      <c r="B1164" s="105" t="s">
        <v>2742</v>
      </c>
      <c r="C1164" s="105" t="s">
        <v>2743</v>
      </c>
      <c r="D1164" s="105"/>
    </row>
    <row r="1165" spans="1:4" ht="21" customHeight="1">
      <c r="A1165" s="105">
        <v>1164</v>
      </c>
      <c r="B1165" s="105" t="s">
        <v>2744</v>
      </c>
      <c r="C1165" s="105" t="s">
        <v>2745</v>
      </c>
      <c r="D1165" s="105"/>
    </row>
    <row r="1166" spans="1:4" ht="21" customHeight="1">
      <c r="A1166" s="105">
        <v>1165</v>
      </c>
      <c r="B1166" s="105" t="s">
        <v>2746</v>
      </c>
      <c r="C1166" s="105" t="s">
        <v>2747</v>
      </c>
      <c r="D1166" s="105"/>
    </row>
    <row r="1167" spans="1:4" ht="21" customHeight="1">
      <c r="A1167" s="105">
        <v>1166</v>
      </c>
      <c r="B1167" s="105" t="s">
        <v>2748</v>
      </c>
      <c r="C1167" s="105" t="s">
        <v>2749</v>
      </c>
      <c r="D1167" s="105"/>
    </row>
    <row r="1168" spans="1:4" ht="21" customHeight="1">
      <c r="A1168" s="105">
        <v>1167</v>
      </c>
      <c r="B1168" s="105" t="s">
        <v>2750</v>
      </c>
      <c r="C1168" s="105" t="s">
        <v>2751</v>
      </c>
      <c r="D1168" s="105"/>
    </row>
    <row r="1169" spans="1:4" ht="21" customHeight="1">
      <c r="A1169" s="105">
        <v>1168</v>
      </c>
      <c r="B1169" s="105" t="s">
        <v>2752</v>
      </c>
      <c r="C1169" s="105" t="s">
        <v>2753</v>
      </c>
      <c r="D1169" s="105"/>
    </row>
    <row r="1170" spans="1:4" ht="21" customHeight="1">
      <c r="A1170" s="105">
        <v>1169</v>
      </c>
      <c r="B1170" s="105" t="s">
        <v>2754</v>
      </c>
      <c r="C1170" s="105" t="s">
        <v>2755</v>
      </c>
      <c r="D1170" s="105"/>
    </row>
    <row r="1171" spans="1:4" ht="21" customHeight="1">
      <c r="A1171" s="105">
        <v>1170</v>
      </c>
      <c r="B1171" s="105" t="s">
        <v>2756</v>
      </c>
      <c r="C1171" s="105" t="s">
        <v>2757</v>
      </c>
      <c r="D1171" s="105"/>
    </row>
    <row r="1172" spans="1:4" ht="21" customHeight="1">
      <c r="A1172" s="105">
        <v>1171</v>
      </c>
      <c r="B1172" s="105" t="s">
        <v>2758</v>
      </c>
      <c r="C1172" s="105" t="s">
        <v>2759</v>
      </c>
      <c r="D1172" s="105"/>
    </row>
    <row r="1173" spans="1:4" ht="21" customHeight="1">
      <c r="A1173" s="105">
        <v>1172</v>
      </c>
      <c r="B1173" s="105" t="s">
        <v>2760</v>
      </c>
      <c r="C1173" s="105" t="s">
        <v>2761</v>
      </c>
      <c r="D1173" s="105"/>
    </row>
    <row r="1174" spans="1:4" ht="21" customHeight="1">
      <c r="A1174" s="105">
        <v>1173</v>
      </c>
      <c r="B1174" s="105" t="s">
        <v>2762</v>
      </c>
      <c r="C1174" s="105" t="s">
        <v>2763</v>
      </c>
      <c r="D1174" s="105"/>
    </row>
    <row r="1175" spans="1:4" ht="21" customHeight="1">
      <c r="A1175" s="105">
        <v>1174</v>
      </c>
      <c r="B1175" s="105" t="s">
        <v>2764</v>
      </c>
      <c r="C1175" s="105" t="s">
        <v>2765</v>
      </c>
      <c r="D1175" s="105"/>
    </row>
    <row r="1176" spans="1:4" ht="21" customHeight="1">
      <c r="A1176" s="105">
        <v>1175</v>
      </c>
      <c r="B1176" s="105" t="s">
        <v>2766</v>
      </c>
      <c r="C1176" s="105" t="s">
        <v>2767</v>
      </c>
      <c r="D1176" s="105"/>
    </row>
    <row r="1177" spans="1:4" ht="21" customHeight="1">
      <c r="A1177" s="105">
        <v>1176</v>
      </c>
      <c r="B1177" s="105" t="s">
        <v>2768</v>
      </c>
      <c r="C1177" s="105" t="s">
        <v>2769</v>
      </c>
      <c r="D1177" s="105"/>
    </row>
    <row r="1178" spans="1:4" ht="21" customHeight="1">
      <c r="A1178" s="105">
        <v>1177</v>
      </c>
      <c r="B1178" s="105" t="s">
        <v>2770</v>
      </c>
      <c r="C1178" s="105" t="s">
        <v>2771</v>
      </c>
      <c r="D1178" s="105"/>
    </row>
    <row r="1179" spans="1:4" ht="21" customHeight="1">
      <c r="A1179" s="105">
        <v>1178</v>
      </c>
      <c r="B1179" s="105" t="s">
        <v>2772</v>
      </c>
      <c r="C1179" s="105" t="s">
        <v>2773</v>
      </c>
      <c r="D1179" s="105"/>
    </row>
    <row r="1180" spans="1:4" ht="21" customHeight="1">
      <c r="A1180" s="105">
        <v>1179</v>
      </c>
      <c r="B1180" s="105" t="s">
        <v>2774</v>
      </c>
      <c r="C1180" s="105" t="s">
        <v>2775</v>
      </c>
      <c r="D1180" s="105"/>
    </row>
    <row r="1181" spans="1:4" ht="21" customHeight="1">
      <c r="A1181" s="105">
        <v>1180</v>
      </c>
      <c r="B1181" s="105" t="s">
        <v>2776</v>
      </c>
      <c r="C1181" s="105" t="s">
        <v>2777</v>
      </c>
      <c r="D1181" s="105"/>
    </row>
    <row r="1182" spans="1:4" ht="21" customHeight="1">
      <c r="A1182" s="105">
        <v>1181</v>
      </c>
      <c r="B1182" s="105" t="s">
        <v>2778</v>
      </c>
      <c r="C1182" s="105" t="s">
        <v>2779</v>
      </c>
      <c r="D1182" s="105"/>
    </row>
    <row r="1183" spans="1:4" ht="21" customHeight="1">
      <c r="A1183" s="105">
        <v>1182</v>
      </c>
      <c r="B1183" s="105" t="s">
        <v>2780</v>
      </c>
      <c r="C1183" s="105" t="s">
        <v>1367</v>
      </c>
      <c r="D1183" s="105"/>
    </row>
    <row r="1184" spans="1:4" ht="21" customHeight="1">
      <c r="A1184" s="105">
        <v>1183</v>
      </c>
      <c r="B1184" s="105" t="s">
        <v>2781</v>
      </c>
      <c r="C1184" s="105" t="s">
        <v>2782</v>
      </c>
      <c r="D1184" s="105"/>
    </row>
    <row r="1185" spans="1:4" ht="21" customHeight="1">
      <c r="A1185" s="105">
        <v>1184</v>
      </c>
      <c r="B1185" s="105" t="s">
        <v>2783</v>
      </c>
      <c r="C1185" s="105" t="s">
        <v>1495</v>
      </c>
      <c r="D1185" s="105"/>
    </row>
    <row r="1186" spans="1:4" ht="19.5" customHeight="1">
      <c r="A1186" s="105">
        <v>1185</v>
      </c>
      <c r="B1186" s="105" t="s">
        <v>2784</v>
      </c>
      <c r="C1186" s="105" t="s">
        <v>2785</v>
      </c>
      <c r="D1186" s="105"/>
    </row>
    <row r="1187" spans="1:4" ht="141" customHeight="1">
      <c r="A1187" s="105">
        <v>1186</v>
      </c>
      <c r="B1187" s="105" t="s">
        <v>2786</v>
      </c>
      <c r="C1187" s="105" t="s">
        <v>2787</v>
      </c>
      <c r="D1187" s="105"/>
    </row>
    <row r="1188" spans="1:4" ht="21" customHeight="1">
      <c r="A1188" s="105">
        <v>1187</v>
      </c>
      <c r="B1188" s="105" t="s">
        <v>2788</v>
      </c>
      <c r="C1188" s="105" t="s">
        <v>2789</v>
      </c>
      <c r="D1188" s="105"/>
    </row>
    <row r="1189" spans="1:4" ht="21" customHeight="1">
      <c r="A1189" s="105">
        <v>1188</v>
      </c>
      <c r="B1189" s="105" t="s">
        <v>2790</v>
      </c>
      <c r="C1189" s="105" t="s">
        <v>2791</v>
      </c>
      <c r="D1189" s="105"/>
    </row>
    <row r="1190" spans="1:4" ht="21" customHeight="1">
      <c r="A1190" s="105">
        <v>1189</v>
      </c>
      <c r="B1190" s="105" t="s">
        <v>2792</v>
      </c>
      <c r="C1190" s="105" t="s">
        <v>2793</v>
      </c>
      <c r="D1190" s="105"/>
    </row>
    <row r="1191" spans="1:4" ht="21" customHeight="1">
      <c r="A1191" s="105">
        <v>1190</v>
      </c>
      <c r="B1191" s="105" t="s">
        <v>2794</v>
      </c>
      <c r="C1191" s="105" t="s">
        <v>2795</v>
      </c>
      <c r="D1191" s="105"/>
    </row>
    <row r="1192" spans="1:4" ht="21" customHeight="1">
      <c r="A1192" s="105">
        <v>1191</v>
      </c>
      <c r="B1192" s="105" t="s">
        <v>2796</v>
      </c>
      <c r="C1192" s="105" t="s">
        <v>2797</v>
      </c>
      <c r="D1192" s="105"/>
    </row>
    <row r="1193" spans="1:4" ht="21" customHeight="1">
      <c r="A1193" s="105">
        <v>1192</v>
      </c>
      <c r="B1193" s="105" t="s">
        <v>2798</v>
      </c>
      <c r="C1193" s="105" t="s">
        <v>2799</v>
      </c>
      <c r="D1193" s="105"/>
    </row>
    <row r="1194" spans="1:4" ht="21" customHeight="1">
      <c r="A1194" s="105">
        <v>1193</v>
      </c>
      <c r="B1194" s="105" t="s">
        <v>2800</v>
      </c>
      <c r="C1194" s="105" t="s">
        <v>2801</v>
      </c>
      <c r="D1194" s="105"/>
    </row>
    <row r="1195" spans="1:4" ht="21" customHeight="1">
      <c r="A1195" s="105">
        <v>1194</v>
      </c>
      <c r="B1195" s="105" t="s">
        <v>2802</v>
      </c>
      <c r="C1195" s="105" t="s">
        <v>2803</v>
      </c>
      <c r="D1195" s="105"/>
    </row>
    <row r="1196" spans="1:4" ht="21" customHeight="1">
      <c r="A1196" s="105">
        <v>1195</v>
      </c>
      <c r="B1196" s="105" t="s">
        <v>2804</v>
      </c>
      <c r="C1196" s="105" t="s">
        <v>2805</v>
      </c>
      <c r="D1196" s="105"/>
    </row>
    <row r="1197" spans="1:4" ht="21" customHeight="1">
      <c r="A1197" s="105">
        <v>1196</v>
      </c>
      <c r="B1197" s="105" t="s">
        <v>2806</v>
      </c>
      <c r="C1197" s="105" t="s">
        <v>2807</v>
      </c>
      <c r="D1197" s="105"/>
    </row>
    <row r="1198" spans="1:4" ht="21" customHeight="1">
      <c r="A1198" s="105">
        <v>1197</v>
      </c>
      <c r="B1198" s="105" t="s">
        <v>2808</v>
      </c>
      <c r="C1198" s="105" t="s">
        <v>2809</v>
      </c>
      <c r="D1198" s="105"/>
    </row>
    <row r="1199" spans="1:4" ht="21" customHeight="1">
      <c r="A1199" s="105">
        <v>1198</v>
      </c>
      <c r="B1199" s="105" t="s">
        <v>2810</v>
      </c>
      <c r="C1199" s="105" t="s">
        <v>2811</v>
      </c>
      <c r="D1199" s="105"/>
    </row>
    <row r="1200" spans="1:4" ht="21" customHeight="1">
      <c r="A1200" s="105">
        <v>1199</v>
      </c>
      <c r="B1200" s="105" t="s">
        <v>2812</v>
      </c>
      <c r="C1200" s="105" t="s">
        <v>2813</v>
      </c>
      <c r="D1200" s="105"/>
    </row>
    <row r="1201" spans="1:4" ht="21" customHeight="1">
      <c r="A1201" s="105">
        <v>1200</v>
      </c>
      <c r="B1201" s="105" t="s">
        <v>2814</v>
      </c>
      <c r="C1201" s="105" t="s">
        <v>2815</v>
      </c>
      <c r="D1201" s="105"/>
    </row>
    <row r="1202" spans="1:4" ht="21" customHeight="1">
      <c r="A1202" s="105">
        <v>1201</v>
      </c>
      <c r="B1202" s="105" t="s">
        <v>2816</v>
      </c>
      <c r="C1202" s="105" t="s">
        <v>2817</v>
      </c>
      <c r="D1202" s="105"/>
    </row>
    <row r="1203" spans="1:4" ht="21" customHeight="1">
      <c r="A1203" s="105">
        <v>1202</v>
      </c>
      <c r="B1203" s="105" t="s">
        <v>2818</v>
      </c>
      <c r="C1203" s="105" t="s">
        <v>2819</v>
      </c>
      <c r="D1203" s="105"/>
    </row>
    <row r="1204" spans="1:4" ht="21" customHeight="1">
      <c r="A1204" s="105">
        <v>1203</v>
      </c>
      <c r="B1204" s="105" t="s">
        <v>2820</v>
      </c>
      <c r="C1204" s="105" t="s">
        <v>2821</v>
      </c>
      <c r="D1204" s="105"/>
    </row>
    <row r="1205" spans="1:4" ht="21" customHeight="1">
      <c r="A1205" s="105">
        <v>1204</v>
      </c>
      <c r="B1205" s="105" t="s">
        <v>2822</v>
      </c>
      <c r="C1205" s="105" t="s">
        <v>2823</v>
      </c>
      <c r="D1205" s="105"/>
    </row>
    <row r="1206" spans="1:4" ht="21" customHeight="1">
      <c r="A1206" s="105">
        <v>1205</v>
      </c>
      <c r="B1206" s="105" t="s">
        <v>2824</v>
      </c>
      <c r="C1206" s="105" t="s">
        <v>2825</v>
      </c>
      <c r="D1206" s="105"/>
    </row>
    <row r="1207" spans="1:4" ht="21" customHeight="1">
      <c r="A1207" s="105">
        <v>1206</v>
      </c>
      <c r="B1207" s="105" t="s">
        <v>2826</v>
      </c>
      <c r="C1207" s="105" t="s">
        <v>2827</v>
      </c>
      <c r="D1207" s="105"/>
    </row>
    <row r="1208" spans="1:4" ht="21" customHeight="1">
      <c r="A1208" s="105">
        <v>1207</v>
      </c>
      <c r="B1208" s="105" t="s">
        <v>2828</v>
      </c>
      <c r="C1208" s="105" t="s">
        <v>2829</v>
      </c>
      <c r="D1208" s="105"/>
    </row>
    <row r="1209" spans="1:4" ht="21" customHeight="1">
      <c r="A1209" s="105">
        <v>1208</v>
      </c>
      <c r="B1209" s="105" t="s">
        <v>2830</v>
      </c>
      <c r="C1209" s="105" t="s">
        <v>2831</v>
      </c>
      <c r="D1209" s="105"/>
    </row>
    <row r="1210" spans="1:4" ht="21" customHeight="1">
      <c r="A1210" s="105">
        <v>1209</v>
      </c>
      <c r="B1210" s="105" t="s">
        <v>2832</v>
      </c>
      <c r="C1210" s="105" t="s">
        <v>2833</v>
      </c>
      <c r="D1210" s="105"/>
    </row>
    <row r="1211" spans="1:4" ht="21" customHeight="1">
      <c r="A1211" s="105">
        <v>1210</v>
      </c>
      <c r="B1211" s="105" t="s">
        <v>2834</v>
      </c>
      <c r="C1211" s="105" t="s">
        <v>2835</v>
      </c>
      <c r="D1211" s="105"/>
    </row>
    <row r="1212" spans="1:4" ht="21" customHeight="1">
      <c r="A1212" s="105">
        <v>1211</v>
      </c>
      <c r="B1212" s="105" t="s">
        <v>2836</v>
      </c>
      <c r="C1212" s="105" t="s">
        <v>2837</v>
      </c>
      <c r="D1212" s="105"/>
    </row>
    <row r="1213" spans="1:4" ht="21" customHeight="1">
      <c r="A1213" s="105">
        <v>1212</v>
      </c>
      <c r="B1213" s="105" t="s">
        <v>2838</v>
      </c>
      <c r="C1213" s="105" t="s">
        <v>2839</v>
      </c>
      <c r="D1213" s="105"/>
    </row>
    <row r="1214" spans="1:4" ht="21" customHeight="1">
      <c r="A1214" s="105">
        <v>1213</v>
      </c>
      <c r="B1214" s="105" t="s">
        <v>2840</v>
      </c>
      <c r="C1214" s="105" t="s">
        <v>2841</v>
      </c>
      <c r="D1214" s="105"/>
    </row>
    <row r="1215" spans="1:4" ht="21" customHeight="1">
      <c r="A1215" s="105">
        <v>1214</v>
      </c>
      <c r="B1215" s="105" t="s">
        <v>2842</v>
      </c>
      <c r="C1215" s="105" t="s">
        <v>2843</v>
      </c>
      <c r="D1215" s="105"/>
    </row>
    <row r="1216" spans="1:4" ht="21" customHeight="1">
      <c r="A1216" s="105">
        <v>1215</v>
      </c>
      <c r="B1216" s="105" t="s">
        <v>2844</v>
      </c>
      <c r="C1216" s="105" t="s">
        <v>2845</v>
      </c>
      <c r="D1216" s="105"/>
    </row>
    <row r="1217" spans="1:4" ht="21" customHeight="1">
      <c r="A1217" s="105">
        <v>1216</v>
      </c>
      <c r="B1217" s="105" t="s">
        <v>2846</v>
      </c>
      <c r="C1217" s="105" t="s">
        <v>2847</v>
      </c>
      <c r="D1217" s="105"/>
    </row>
    <row r="1218" spans="1:4" ht="124.5" customHeight="1">
      <c r="A1218" s="105">
        <v>1217</v>
      </c>
      <c r="B1218" s="105" t="s">
        <v>2848</v>
      </c>
      <c r="C1218" s="105" t="s">
        <v>2849</v>
      </c>
      <c r="D1218" s="105"/>
    </row>
    <row r="1219" spans="1:4" ht="21" customHeight="1">
      <c r="A1219" s="105">
        <v>1218</v>
      </c>
      <c r="B1219" s="105" t="s">
        <v>2850</v>
      </c>
      <c r="C1219" s="105" t="s">
        <v>2851</v>
      </c>
      <c r="D1219" s="105"/>
    </row>
    <row r="1220" spans="1:4" ht="21" customHeight="1">
      <c r="A1220" s="105">
        <v>1219</v>
      </c>
      <c r="B1220" s="105" t="s">
        <v>2852</v>
      </c>
      <c r="C1220" s="105" t="s">
        <v>2853</v>
      </c>
      <c r="D1220" s="105"/>
    </row>
    <row r="1221" spans="1:4" ht="21" customHeight="1">
      <c r="A1221" s="105">
        <v>1220</v>
      </c>
      <c r="B1221" s="105" t="s">
        <v>2854</v>
      </c>
      <c r="C1221" s="105" t="s">
        <v>2855</v>
      </c>
      <c r="D1221" s="105"/>
    </row>
    <row r="1222" spans="1:4" ht="144.75" customHeight="1">
      <c r="A1222" s="105">
        <v>1221</v>
      </c>
      <c r="B1222" s="105" t="s">
        <v>2856</v>
      </c>
      <c r="C1222" s="105" t="s">
        <v>2857</v>
      </c>
      <c r="D1222" s="105"/>
    </row>
    <row r="1223" spans="1:4" ht="141" customHeight="1">
      <c r="A1223" s="105">
        <v>1222</v>
      </c>
      <c r="B1223" s="110" t="s">
        <v>2858</v>
      </c>
      <c r="C1223" s="110" t="s">
        <v>2859</v>
      </c>
      <c r="D1223" s="110"/>
    </row>
    <row r="1224" spans="1:4" ht="21" customHeight="1">
      <c r="A1224" s="105">
        <v>1223</v>
      </c>
      <c r="B1224" s="105" t="s">
        <v>2860</v>
      </c>
      <c r="C1224" s="105" t="s">
        <v>2861</v>
      </c>
      <c r="D1224" s="105"/>
    </row>
    <row r="1225" spans="1:4" ht="21" customHeight="1">
      <c r="A1225" s="105">
        <v>1224</v>
      </c>
      <c r="B1225" s="110" t="s">
        <v>2862</v>
      </c>
      <c r="C1225" s="110" t="s">
        <v>2863</v>
      </c>
      <c r="D1225" s="110"/>
    </row>
    <row r="1226" spans="1:4" ht="21" customHeight="1">
      <c r="A1226" s="105">
        <v>1225</v>
      </c>
      <c r="B1226" s="105" t="s">
        <v>2864</v>
      </c>
      <c r="C1226" s="105" t="s">
        <v>2865</v>
      </c>
      <c r="D1226" s="105"/>
    </row>
    <row r="1227" spans="1:4" ht="21" customHeight="1">
      <c r="A1227" s="105">
        <v>1226</v>
      </c>
      <c r="B1227" s="110" t="s">
        <v>2866</v>
      </c>
      <c r="C1227" s="110" t="s">
        <v>2867</v>
      </c>
      <c r="D1227" s="110"/>
    </row>
    <row r="1228" spans="1:4" ht="21" customHeight="1">
      <c r="A1228" s="105">
        <v>1227</v>
      </c>
      <c r="B1228" s="105" t="s">
        <v>2868</v>
      </c>
      <c r="C1228" s="105" t="s">
        <v>2869</v>
      </c>
      <c r="D1228" s="105"/>
    </row>
    <row r="1229" spans="1:4" ht="21" customHeight="1">
      <c r="A1229" s="105">
        <v>1228</v>
      </c>
      <c r="B1229" s="105"/>
      <c r="C1229" s="105"/>
      <c r="D1229" s="105"/>
    </row>
    <row r="1230" spans="1:4" ht="21" customHeight="1">
      <c r="A1230" s="111"/>
      <c r="B1230" s="111"/>
      <c r="C1230" s="111"/>
      <c r="D1230" s="111"/>
    </row>
    <row r="1231" spans="1:4" ht="21" customHeight="1">
      <c r="A1231" s="111"/>
      <c r="B1231" s="111"/>
      <c r="C1231" s="111"/>
      <c r="D1231" s="111"/>
    </row>
    <row r="1232" spans="1:4" ht="21" customHeight="1">
      <c r="A1232" s="111"/>
      <c r="B1232" s="111"/>
      <c r="C1232" s="111"/>
      <c r="D1232" s="111"/>
    </row>
    <row r="1233" spans="1:4" ht="21" customHeight="1">
      <c r="A1233" s="111"/>
      <c r="B1233" s="111"/>
      <c r="C1233" s="111"/>
      <c r="D1233" s="111"/>
    </row>
    <row r="1234" spans="1:4" ht="21" customHeight="1">
      <c r="A1234" s="111"/>
      <c r="B1234" s="111"/>
      <c r="C1234" s="111"/>
      <c r="D1234" s="111"/>
    </row>
  </sheetData>
  <autoFilter ref="A1:D1229" xr:uid="{00000000-0009-0000-0000-000005000000}"/>
  <phoneticPr fontId="35" type="noConversion"/>
  <conditionalFormatting sqref="B2">
    <cfRule type="duplicateValues" dxfId="3" priority="1"/>
  </conditionalFormatting>
  <conditionalFormatting sqref="C2">
    <cfRule type="duplicateValues" dxfId="2" priority="2"/>
  </conditionalFormatting>
  <hyperlinks>
    <hyperlink ref="C707" r:id="rId1" xr:uid="{00000000-0004-0000-0500-000000000000}"/>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专业词汇必背-电气">
    <tabColor rgb="FFFFFFFF"/>
  </sheetPr>
  <dimension ref="A1:D971"/>
  <sheetViews>
    <sheetView workbookViewId="0"/>
  </sheetViews>
  <sheetFormatPr defaultRowHeight="14"/>
  <cols>
    <col min="1" max="1" width="13.7265625" customWidth="1"/>
    <col min="2" max="2" width="58.81640625" customWidth="1"/>
    <col min="3" max="3" width="73.54296875" style="134" customWidth="1"/>
    <col min="4" max="4" width="34.26953125" customWidth="1"/>
  </cols>
  <sheetData>
    <row r="1" spans="1:4" ht="23">
      <c r="A1" s="104" t="s">
        <v>245</v>
      </c>
      <c r="B1" s="104" t="s">
        <v>471</v>
      </c>
      <c r="C1" s="104" t="s">
        <v>472</v>
      </c>
      <c r="D1" s="104" t="s">
        <v>257</v>
      </c>
    </row>
    <row r="2" spans="1:4" ht="23">
      <c r="A2" s="105">
        <v>1</v>
      </c>
      <c r="B2" s="105" t="s">
        <v>473</v>
      </c>
      <c r="C2" s="105" t="s">
        <v>474</v>
      </c>
      <c r="D2" s="105"/>
    </row>
    <row r="3" spans="1:4" ht="23">
      <c r="A3" s="105">
        <v>2</v>
      </c>
      <c r="B3" s="105" t="s">
        <v>3113</v>
      </c>
      <c r="C3" s="105" t="s">
        <v>3114</v>
      </c>
      <c r="D3" s="105"/>
    </row>
    <row r="4" spans="1:4" ht="23">
      <c r="A4" s="105">
        <v>3</v>
      </c>
      <c r="B4" s="105" t="s">
        <v>3115</v>
      </c>
      <c r="C4" s="105" t="s">
        <v>3116</v>
      </c>
      <c r="D4" s="105"/>
    </row>
    <row r="5" spans="1:4" ht="23">
      <c r="A5" s="105">
        <v>4</v>
      </c>
      <c r="B5" s="105" t="s">
        <v>3117</v>
      </c>
      <c r="C5" s="105" t="s">
        <v>3118</v>
      </c>
      <c r="D5" s="105"/>
    </row>
    <row r="6" spans="1:4" ht="23">
      <c r="A6" s="105">
        <v>5</v>
      </c>
      <c r="B6" s="105" t="s">
        <v>3119</v>
      </c>
      <c r="C6" s="105" t="s">
        <v>3120</v>
      </c>
      <c r="D6" s="105"/>
    </row>
    <row r="7" spans="1:4" ht="23">
      <c r="A7" s="105">
        <v>6</v>
      </c>
      <c r="B7" s="105" t="s">
        <v>3121</v>
      </c>
      <c r="C7" s="105" t="s">
        <v>3122</v>
      </c>
      <c r="D7" s="105"/>
    </row>
    <row r="8" spans="1:4" ht="23">
      <c r="A8" s="105">
        <v>7</v>
      </c>
      <c r="B8" s="105" t="s">
        <v>3123</v>
      </c>
      <c r="C8" s="105" t="s">
        <v>3124</v>
      </c>
      <c r="D8" s="105"/>
    </row>
    <row r="9" spans="1:4" ht="23">
      <c r="A9" s="105">
        <v>8</v>
      </c>
      <c r="B9" s="105" t="s">
        <v>3125</v>
      </c>
      <c r="C9" s="105" t="s">
        <v>3126</v>
      </c>
      <c r="D9" s="105"/>
    </row>
    <row r="10" spans="1:4" ht="23">
      <c r="A10" s="105">
        <v>9</v>
      </c>
      <c r="B10" s="105" t="s">
        <v>3127</v>
      </c>
      <c r="C10" s="105" t="s">
        <v>2039</v>
      </c>
      <c r="D10" s="105"/>
    </row>
    <row r="11" spans="1:4" ht="23">
      <c r="A11" s="105">
        <v>10</v>
      </c>
      <c r="B11" s="105" t="s">
        <v>3128</v>
      </c>
      <c r="C11" s="105" t="s">
        <v>1614</v>
      </c>
      <c r="D11" s="105"/>
    </row>
    <row r="12" spans="1:4" ht="23">
      <c r="A12" s="105">
        <v>11</v>
      </c>
      <c r="B12" s="105" t="s">
        <v>3129</v>
      </c>
      <c r="C12" s="105" t="s">
        <v>3130</v>
      </c>
      <c r="D12" s="105"/>
    </row>
    <row r="13" spans="1:4" ht="23">
      <c r="A13" s="105">
        <v>12</v>
      </c>
      <c r="B13" s="105" t="s">
        <v>3131</v>
      </c>
      <c r="C13" s="105" t="s">
        <v>3132</v>
      </c>
      <c r="D13" s="105"/>
    </row>
    <row r="14" spans="1:4" ht="23">
      <c r="A14" s="105">
        <v>13</v>
      </c>
      <c r="B14" s="105" t="s">
        <v>3133</v>
      </c>
      <c r="C14" s="105" t="s">
        <v>1568</v>
      </c>
      <c r="D14" s="105"/>
    </row>
    <row r="15" spans="1:4" ht="23">
      <c r="A15" s="105">
        <v>14</v>
      </c>
      <c r="B15" s="105" t="s">
        <v>3134</v>
      </c>
      <c r="C15" s="105" t="s">
        <v>3135</v>
      </c>
      <c r="D15" s="105"/>
    </row>
    <row r="16" spans="1:4" ht="23">
      <c r="A16" s="105">
        <v>15</v>
      </c>
      <c r="B16" s="105" t="s">
        <v>3136</v>
      </c>
      <c r="C16" s="105" t="s">
        <v>3137</v>
      </c>
      <c r="D16" s="105"/>
    </row>
    <row r="17" spans="1:4" ht="23">
      <c r="A17" s="105">
        <v>16</v>
      </c>
      <c r="B17" s="105" t="s">
        <v>3138</v>
      </c>
      <c r="C17" s="105" t="s">
        <v>3139</v>
      </c>
      <c r="D17" s="105"/>
    </row>
    <row r="18" spans="1:4" ht="23">
      <c r="A18" s="105">
        <v>17</v>
      </c>
      <c r="B18" s="105" t="s">
        <v>3140</v>
      </c>
      <c r="C18" s="105" t="s">
        <v>3141</v>
      </c>
      <c r="D18" s="105"/>
    </row>
    <row r="19" spans="1:4" ht="23">
      <c r="A19" s="105">
        <v>18</v>
      </c>
      <c r="B19" s="105" t="s">
        <v>3142</v>
      </c>
      <c r="C19" s="105" t="s">
        <v>3143</v>
      </c>
      <c r="D19" s="105"/>
    </row>
    <row r="20" spans="1:4" ht="23">
      <c r="A20" s="105">
        <v>19</v>
      </c>
      <c r="B20" s="105" t="s">
        <v>3144</v>
      </c>
      <c r="C20" s="105" t="s">
        <v>3145</v>
      </c>
      <c r="D20" s="105"/>
    </row>
    <row r="21" spans="1:4" ht="23">
      <c r="A21" s="105">
        <v>20</v>
      </c>
      <c r="B21" s="105" t="s">
        <v>3146</v>
      </c>
      <c r="C21" s="105" t="s">
        <v>3147</v>
      </c>
      <c r="D21" s="105"/>
    </row>
    <row r="22" spans="1:4" ht="23">
      <c r="A22" s="105">
        <v>21</v>
      </c>
      <c r="B22" s="105" t="s">
        <v>3148</v>
      </c>
      <c r="C22" s="105" t="s">
        <v>3149</v>
      </c>
      <c r="D22" s="105"/>
    </row>
    <row r="23" spans="1:4" ht="23">
      <c r="A23" s="105">
        <v>22</v>
      </c>
      <c r="B23" s="105" t="s">
        <v>3150</v>
      </c>
      <c r="C23" s="105" t="s">
        <v>3151</v>
      </c>
      <c r="D23" s="105"/>
    </row>
    <row r="24" spans="1:4" ht="23">
      <c r="A24" s="105">
        <v>23</v>
      </c>
      <c r="B24" s="105" t="s">
        <v>3152</v>
      </c>
      <c r="C24" s="105" t="s">
        <v>3153</v>
      </c>
      <c r="D24" s="105"/>
    </row>
    <row r="25" spans="1:4" ht="23">
      <c r="A25" s="105">
        <v>24</v>
      </c>
      <c r="B25" s="105" t="s">
        <v>3154</v>
      </c>
      <c r="C25" s="105" t="s">
        <v>3155</v>
      </c>
      <c r="D25" s="105"/>
    </row>
    <row r="26" spans="1:4" ht="23">
      <c r="A26" s="105">
        <v>25</v>
      </c>
      <c r="B26" s="105" t="s">
        <v>3156</v>
      </c>
      <c r="C26" s="105" t="s">
        <v>3157</v>
      </c>
      <c r="D26" s="105"/>
    </row>
    <row r="27" spans="1:4" ht="23">
      <c r="A27" s="105">
        <v>26</v>
      </c>
      <c r="B27" s="105" t="s">
        <v>3158</v>
      </c>
      <c r="C27" s="105" t="s">
        <v>3159</v>
      </c>
      <c r="D27" s="105"/>
    </row>
    <row r="28" spans="1:4" ht="23">
      <c r="A28" s="105">
        <v>27</v>
      </c>
      <c r="B28" s="105" t="s">
        <v>3160</v>
      </c>
      <c r="C28" s="105" t="s">
        <v>3161</v>
      </c>
      <c r="D28" s="105"/>
    </row>
    <row r="29" spans="1:4" ht="23">
      <c r="A29" s="105">
        <v>28</v>
      </c>
      <c r="B29" s="105" t="s">
        <v>3162</v>
      </c>
      <c r="C29" s="105" t="s">
        <v>3163</v>
      </c>
      <c r="D29" s="105"/>
    </row>
    <row r="30" spans="1:4" ht="23">
      <c r="A30" s="105">
        <v>29</v>
      </c>
      <c r="B30" s="105" t="s">
        <v>3164</v>
      </c>
      <c r="C30" s="105" t="s">
        <v>2017</v>
      </c>
      <c r="D30" s="105"/>
    </row>
    <row r="31" spans="1:4" ht="23">
      <c r="A31" s="105">
        <v>30</v>
      </c>
      <c r="B31" s="105" t="s">
        <v>3165</v>
      </c>
      <c r="C31" s="105" t="s">
        <v>3166</v>
      </c>
      <c r="D31" s="105"/>
    </row>
    <row r="32" spans="1:4" ht="23">
      <c r="A32" s="105">
        <v>31</v>
      </c>
      <c r="B32" s="105" t="s">
        <v>3167</v>
      </c>
      <c r="C32" s="105" t="s">
        <v>3168</v>
      </c>
      <c r="D32" s="105"/>
    </row>
    <row r="33" spans="1:4" ht="23">
      <c r="A33" s="105">
        <v>32</v>
      </c>
      <c r="B33" s="105" t="s">
        <v>3169</v>
      </c>
      <c r="C33" s="105" t="s">
        <v>3170</v>
      </c>
      <c r="D33" s="105"/>
    </row>
    <row r="34" spans="1:4" ht="23">
      <c r="A34" s="105">
        <v>33</v>
      </c>
      <c r="B34" s="105" t="s">
        <v>3171</v>
      </c>
      <c r="C34" s="105" t="s">
        <v>1798</v>
      </c>
      <c r="D34" s="105"/>
    </row>
    <row r="35" spans="1:4" ht="23">
      <c r="A35" s="105">
        <v>34</v>
      </c>
      <c r="B35" s="105" t="s">
        <v>3172</v>
      </c>
      <c r="C35" s="105" t="s">
        <v>3173</v>
      </c>
      <c r="D35" s="105"/>
    </row>
    <row r="36" spans="1:4" ht="23">
      <c r="A36" s="105">
        <v>35</v>
      </c>
      <c r="B36" s="105" t="s">
        <v>3174</v>
      </c>
      <c r="C36" s="105" t="s">
        <v>3175</v>
      </c>
      <c r="D36" s="105"/>
    </row>
    <row r="37" spans="1:4" ht="23">
      <c r="A37" s="105">
        <v>36</v>
      </c>
      <c r="B37" s="105" t="s">
        <v>3176</v>
      </c>
      <c r="C37" s="105" t="s">
        <v>3177</v>
      </c>
      <c r="D37" s="105"/>
    </row>
    <row r="38" spans="1:4" ht="23">
      <c r="A38" s="105">
        <v>37</v>
      </c>
      <c r="B38" s="105" t="s">
        <v>3178</v>
      </c>
      <c r="C38" s="105" t="s">
        <v>3179</v>
      </c>
      <c r="D38" s="105"/>
    </row>
    <row r="39" spans="1:4" ht="23">
      <c r="A39" s="105">
        <v>38</v>
      </c>
      <c r="B39" s="105" t="s">
        <v>3180</v>
      </c>
      <c r="C39" s="105" t="s">
        <v>1964</v>
      </c>
      <c r="D39" s="105"/>
    </row>
    <row r="40" spans="1:4" ht="23">
      <c r="A40" s="105">
        <v>39</v>
      </c>
      <c r="B40" s="105" t="s">
        <v>3181</v>
      </c>
      <c r="C40" s="105" t="s">
        <v>3182</v>
      </c>
      <c r="D40" s="105"/>
    </row>
    <row r="41" spans="1:4" ht="23">
      <c r="A41" s="105">
        <v>40</v>
      </c>
      <c r="B41" s="105" t="s">
        <v>3183</v>
      </c>
      <c r="C41" s="105" t="s">
        <v>3184</v>
      </c>
      <c r="D41" s="105"/>
    </row>
    <row r="42" spans="1:4" ht="23">
      <c r="A42" s="105">
        <v>41</v>
      </c>
      <c r="B42" s="105" t="s">
        <v>3185</v>
      </c>
      <c r="C42" s="105" t="s">
        <v>3186</v>
      </c>
      <c r="D42" s="105"/>
    </row>
    <row r="43" spans="1:4" ht="23">
      <c r="A43" s="105">
        <v>42</v>
      </c>
      <c r="B43" s="105" t="s">
        <v>3187</v>
      </c>
      <c r="C43" s="105" t="s">
        <v>3188</v>
      </c>
      <c r="D43" s="105"/>
    </row>
    <row r="44" spans="1:4" ht="23">
      <c r="A44" s="105">
        <v>43</v>
      </c>
      <c r="B44" s="105" t="s">
        <v>3189</v>
      </c>
      <c r="C44" s="105" t="s">
        <v>1901</v>
      </c>
      <c r="D44" s="105"/>
    </row>
    <row r="45" spans="1:4" ht="23">
      <c r="A45" s="105">
        <v>44</v>
      </c>
      <c r="B45" s="105" t="s">
        <v>3190</v>
      </c>
      <c r="C45" s="105" t="s">
        <v>3191</v>
      </c>
      <c r="D45" s="105"/>
    </row>
    <row r="46" spans="1:4" ht="23">
      <c r="A46" s="105">
        <v>45</v>
      </c>
      <c r="B46" s="105" t="s">
        <v>3192</v>
      </c>
      <c r="C46" s="105" t="s">
        <v>3193</v>
      </c>
      <c r="D46" s="105"/>
    </row>
    <row r="47" spans="1:4" ht="23">
      <c r="A47" s="105">
        <v>46</v>
      </c>
      <c r="B47" s="105" t="s">
        <v>3194</v>
      </c>
      <c r="C47" s="105" t="s">
        <v>3195</v>
      </c>
      <c r="D47" s="105"/>
    </row>
    <row r="48" spans="1:4" ht="23">
      <c r="A48" s="105">
        <v>47</v>
      </c>
      <c r="B48" s="105" t="s">
        <v>3196</v>
      </c>
      <c r="C48" s="105" t="s">
        <v>3197</v>
      </c>
      <c r="D48" s="105"/>
    </row>
    <row r="49" spans="1:4" ht="23">
      <c r="A49" s="105">
        <v>48</v>
      </c>
      <c r="B49" s="105" t="s">
        <v>3198</v>
      </c>
      <c r="C49" s="105" t="s">
        <v>3199</v>
      </c>
      <c r="D49" s="105"/>
    </row>
    <row r="50" spans="1:4" ht="23">
      <c r="A50" s="105">
        <v>49</v>
      </c>
      <c r="B50" s="105" t="s">
        <v>3200</v>
      </c>
      <c r="C50" s="105" t="s">
        <v>3201</v>
      </c>
      <c r="D50" s="105"/>
    </row>
    <row r="51" spans="1:4" ht="23">
      <c r="A51" s="105">
        <v>50</v>
      </c>
      <c r="B51" s="105" t="s">
        <v>3202</v>
      </c>
      <c r="C51" s="105" t="s">
        <v>3203</v>
      </c>
      <c r="D51" s="105"/>
    </row>
    <row r="52" spans="1:4" ht="23">
      <c r="A52" s="105">
        <v>51</v>
      </c>
      <c r="B52" s="105" t="s">
        <v>3204</v>
      </c>
      <c r="C52" s="105" t="s">
        <v>3205</v>
      </c>
      <c r="D52" s="105"/>
    </row>
    <row r="53" spans="1:4" ht="23">
      <c r="A53" s="105">
        <v>52</v>
      </c>
      <c r="B53" s="105" t="s">
        <v>3206</v>
      </c>
      <c r="C53" s="105" t="s">
        <v>3207</v>
      </c>
      <c r="D53" s="105"/>
    </row>
    <row r="54" spans="1:4" ht="23">
      <c r="A54" s="105">
        <v>53</v>
      </c>
      <c r="B54" s="105" t="s">
        <v>3208</v>
      </c>
      <c r="C54" s="105" t="s">
        <v>3209</v>
      </c>
      <c r="D54" s="105"/>
    </row>
    <row r="55" spans="1:4" ht="23">
      <c r="A55" s="105">
        <v>54</v>
      </c>
      <c r="B55" s="105" t="s">
        <v>3210</v>
      </c>
      <c r="C55" s="105" t="s">
        <v>3211</v>
      </c>
      <c r="D55" s="105"/>
    </row>
    <row r="56" spans="1:4" ht="23">
      <c r="A56" s="105">
        <v>55</v>
      </c>
      <c r="B56" s="105" t="s">
        <v>1211</v>
      </c>
      <c r="C56" s="105" t="s">
        <v>1212</v>
      </c>
      <c r="D56" s="105"/>
    </row>
    <row r="57" spans="1:4" ht="23">
      <c r="A57" s="105">
        <v>56</v>
      </c>
      <c r="B57" s="105" t="s">
        <v>3212</v>
      </c>
      <c r="C57" s="105" t="s">
        <v>3213</v>
      </c>
      <c r="D57" s="105"/>
    </row>
    <row r="58" spans="1:4" ht="23">
      <c r="A58" s="105">
        <v>57</v>
      </c>
      <c r="B58" s="105" t="s">
        <v>3214</v>
      </c>
      <c r="C58" s="105" t="s">
        <v>3215</v>
      </c>
      <c r="D58" s="105"/>
    </row>
    <row r="59" spans="1:4" ht="23">
      <c r="A59" s="105">
        <v>58</v>
      </c>
      <c r="B59" s="105" t="s">
        <v>3216</v>
      </c>
      <c r="C59" s="105" t="s">
        <v>3217</v>
      </c>
      <c r="D59" s="105"/>
    </row>
    <row r="60" spans="1:4" ht="23">
      <c r="A60" s="105">
        <v>59</v>
      </c>
      <c r="B60" s="105" t="s">
        <v>3218</v>
      </c>
      <c r="C60" s="105" t="s">
        <v>3219</v>
      </c>
      <c r="D60" s="105"/>
    </row>
    <row r="61" spans="1:4" ht="23">
      <c r="A61" s="105">
        <v>60</v>
      </c>
      <c r="B61" s="105" t="s">
        <v>3220</v>
      </c>
      <c r="C61" s="105" t="s">
        <v>3221</v>
      </c>
      <c r="D61" s="105"/>
    </row>
    <row r="62" spans="1:4" ht="23">
      <c r="A62" s="105">
        <v>61</v>
      </c>
      <c r="B62" s="105" t="s">
        <v>3222</v>
      </c>
      <c r="C62" s="105" t="s">
        <v>3223</v>
      </c>
      <c r="D62" s="105"/>
    </row>
    <row r="63" spans="1:4" ht="23">
      <c r="A63" s="105">
        <v>62</v>
      </c>
      <c r="B63" s="105" t="s">
        <v>3224</v>
      </c>
      <c r="C63" s="105" t="s">
        <v>3225</v>
      </c>
      <c r="D63" s="105"/>
    </row>
    <row r="64" spans="1:4" ht="23">
      <c r="A64" s="105">
        <v>63</v>
      </c>
      <c r="B64" s="105" t="s">
        <v>3226</v>
      </c>
      <c r="C64" s="105" t="s">
        <v>3227</v>
      </c>
      <c r="D64" s="105"/>
    </row>
    <row r="65" spans="1:4" ht="23">
      <c r="A65" s="105">
        <v>64</v>
      </c>
      <c r="B65" s="105" t="s">
        <v>3228</v>
      </c>
      <c r="C65" s="105" t="s">
        <v>3229</v>
      </c>
      <c r="D65" s="105"/>
    </row>
    <row r="66" spans="1:4" ht="23">
      <c r="A66" s="105">
        <v>65</v>
      </c>
      <c r="B66" s="105" t="s">
        <v>3230</v>
      </c>
      <c r="C66" s="105" t="s">
        <v>3231</v>
      </c>
      <c r="D66" s="105"/>
    </row>
    <row r="67" spans="1:4" ht="23">
      <c r="A67" s="105">
        <v>66</v>
      </c>
      <c r="B67" s="105" t="s">
        <v>3232</v>
      </c>
      <c r="C67" s="105" t="s">
        <v>3233</v>
      </c>
      <c r="D67" s="105"/>
    </row>
    <row r="68" spans="1:4" ht="23">
      <c r="A68" s="105">
        <v>67</v>
      </c>
      <c r="B68" s="105" t="s">
        <v>3234</v>
      </c>
      <c r="C68" s="105" t="s">
        <v>3235</v>
      </c>
      <c r="D68" s="105"/>
    </row>
    <row r="69" spans="1:4" ht="23">
      <c r="A69" s="105">
        <v>68</v>
      </c>
      <c r="B69" s="105" t="s">
        <v>3236</v>
      </c>
      <c r="C69" s="105" t="s">
        <v>3237</v>
      </c>
      <c r="D69" s="105"/>
    </row>
    <row r="70" spans="1:4" ht="23">
      <c r="A70" s="105">
        <v>69</v>
      </c>
      <c r="B70" s="105" t="s">
        <v>3238</v>
      </c>
      <c r="C70" s="105" t="s">
        <v>3239</v>
      </c>
      <c r="D70" s="105"/>
    </row>
    <row r="71" spans="1:4" ht="23">
      <c r="A71" s="105">
        <v>70</v>
      </c>
      <c r="B71" s="105" t="s">
        <v>3240</v>
      </c>
      <c r="C71" s="105" t="s">
        <v>3241</v>
      </c>
      <c r="D71" s="105"/>
    </row>
    <row r="72" spans="1:4" ht="23">
      <c r="A72" s="105">
        <v>71</v>
      </c>
      <c r="B72" s="105" t="s">
        <v>3242</v>
      </c>
      <c r="C72" s="105" t="s">
        <v>3243</v>
      </c>
      <c r="D72" s="105"/>
    </row>
    <row r="73" spans="1:4" ht="23">
      <c r="A73" s="105">
        <v>72</v>
      </c>
      <c r="B73" s="105" t="s">
        <v>3244</v>
      </c>
      <c r="C73" s="105" t="s">
        <v>3245</v>
      </c>
      <c r="D73" s="105"/>
    </row>
    <row r="74" spans="1:4" ht="23">
      <c r="A74" s="105">
        <v>73</v>
      </c>
      <c r="B74" s="105" t="s">
        <v>3246</v>
      </c>
      <c r="C74" s="105" t="s">
        <v>3247</v>
      </c>
      <c r="D74" s="105"/>
    </row>
    <row r="75" spans="1:4" ht="23">
      <c r="A75" s="105">
        <v>74</v>
      </c>
      <c r="B75" s="105" t="s">
        <v>3248</v>
      </c>
      <c r="C75" s="105" t="s">
        <v>3249</v>
      </c>
      <c r="D75" s="105"/>
    </row>
    <row r="76" spans="1:4" ht="23">
      <c r="A76" s="105">
        <v>75</v>
      </c>
      <c r="B76" s="105" t="s">
        <v>3250</v>
      </c>
      <c r="C76" s="105" t="s">
        <v>492</v>
      </c>
      <c r="D76" s="105"/>
    </row>
    <row r="77" spans="1:4" ht="23">
      <c r="A77" s="105">
        <v>76</v>
      </c>
      <c r="B77" s="105" t="s">
        <v>3251</v>
      </c>
      <c r="C77" s="105" t="s">
        <v>3252</v>
      </c>
      <c r="D77" s="105"/>
    </row>
    <row r="78" spans="1:4" ht="23">
      <c r="A78" s="105">
        <v>77</v>
      </c>
      <c r="B78" s="105" t="s">
        <v>3253</v>
      </c>
      <c r="C78" s="105" t="s">
        <v>3254</v>
      </c>
      <c r="D78" s="105"/>
    </row>
    <row r="79" spans="1:4" ht="23">
      <c r="A79" s="105">
        <v>78</v>
      </c>
      <c r="B79" s="105" t="s">
        <v>3255</v>
      </c>
      <c r="C79" s="105" t="s">
        <v>3256</v>
      </c>
      <c r="D79" s="105"/>
    </row>
    <row r="80" spans="1:4" ht="23">
      <c r="A80" s="105">
        <v>79</v>
      </c>
      <c r="B80" s="105" t="s">
        <v>3257</v>
      </c>
      <c r="C80" s="105" t="s">
        <v>3258</v>
      </c>
      <c r="D80" s="105"/>
    </row>
    <row r="81" spans="1:4" ht="23">
      <c r="A81" s="105">
        <v>80</v>
      </c>
      <c r="B81" s="105" t="s">
        <v>3259</v>
      </c>
      <c r="C81" s="105" t="s">
        <v>3260</v>
      </c>
      <c r="D81" s="105"/>
    </row>
    <row r="82" spans="1:4" ht="23">
      <c r="A82" s="105">
        <v>81</v>
      </c>
      <c r="B82" s="105" t="s">
        <v>3261</v>
      </c>
      <c r="C82" s="105" t="s">
        <v>3262</v>
      </c>
      <c r="D82" s="105"/>
    </row>
    <row r="83" spans="1:4" ht="23">
      <c r="A83" s="105">
        <v>82</v>
      </c>
      <c r="B83" s="105" t="s">
        <v>3263</v>
      </c>
      <c r="C83" s="105" t="s">
        <v>3264</v>
      </c>
      <c r="D83" s="105"/>
    </row>
    <row r="84" spans="1:4" ht="23">
      <c r="A84" s="105">
        <v>83</v>
      </c>
      <c r="B84" s="105" t="s">
        <v>2818</v>
      </c>
      <c r="C84" s="105" t="s">
        <v>3265</v>
      </c>
      <c r="D84" s="105"/>
    </row>
    <row r="85" spans="1:4" ht="23">
      <c r="A85" s="105">
        <v>84</v>
      </c>
      <c r="B85" s="105" t="s">
        <v>3266</v>
      </c>
      <c r="C85" s="105" t="s">
        <v>3267</v>
      </c>
      <c r="D85" s="105"/>
    </row>
    <row r="86" spans="1:4" ht="23">
      <c r="A86" s="105">
        <v>85</v>
      </c>
      <c r="B86" s="105" t="s">
        <v>3268</v>
      </c>
      <c r="C86" s="105" t="s">
        <v>3269</v>
      </c>
      <c r="D86" s="105"/>
    </row>
    <row r="87" spans="1:4" ht="23">
      <c r="A87" s="105">
        <v>86</v>
      </c>
      <c r="B87" s="105" t="s">
        <v>3270</v>
      </c>
      <c r="C87" s="105" t="s">
        <v>3271</v>
      </c>
      <c r="D87" s="105"/>
    </row>
    <row r="88" spans="1:4" ht="23">
      <c r="A88" s="105">
        <v>87</v>
      </c>
      <c r="B88" s="105" t="s">
        <v>3272</v>
      </c>
      <c r="C88" s="105" t="s">
        <v>3273</v>
      </c>
      <c r="D88" s="105"/>
    </row>
    <row r="89" spans="1:4" ht="23">
      <c r="A89" s="105">
        <v>88</v>
      </c>
      <c r="B89" s="105" t="s">
        <v>3274</v>
      </c>
      <c r="C89" s="105" t="s">
        <v>3275</v>
      </c>
      <c r="D89" s="105"/>
    </row>
    <row r="90" spans="1:4" ht="23">
      <c r="A90" s="105">
        <v>89</v>
      </c>
      <c r="B90" s="105" t="s">
        <v>3276</v>
      </c>
      <c r="C90" s="105" t="s">
        <v>3277</v>
      </c>
      <c r="D90" s="105"/>
    </row>
    <row r="91" spans="1:4" ht="23">
      <c r="A91" s="105">
        <v>90</v>
      </c>
      <c r="B91" s="105" t="s">
        <v>3278</v>
      </c>
      <c r="C91" s="105" t="s">
        <v>3279</v>
      </c>
      <c r="D91" s="105"/>
    </row>
    <row r="92" spans="1:4" ht="23">
      <c r="A92" s="105">
        <v>91</v>
      </c>
      <c r="B92" s="105" t="s">
        <v>3280</v>
      </c>
      <c r="C92" s="105" t="s">
        <v>3281</v>
      </c>
      <c r="D92" s="105"/>
    </row>
    <row r="93" spans="1:4" ht="23">
      <c r="A93" s="105">
        <v>92</v>
      </c>
      <c r="B93" s="105" t="s">
        <v>3282</v>
      </c>
      <c r="C93" s="105" t="s">
        <v>3283</v>
      </c>
      <c r="D93" s="105"/>
    </row>
    <row r="94" spans="1:4" ht="23">
      <c r="A94" s="105">
        <v>93</v>
      </c>
      <c r="B94" s="105" t="s">
        <v>3284</v>
      </c>
      <c r="C94" s="105" t="s">
        <v>3285</v>
      </c>
      <c r="D94" s="105"/>
    </row>
    <row r="95" spans="1:4" ht="23">
      <c r="A95" s="105">
        <v>94</v>
      </c>
      <c r="B95" s="105" t="s">
        <v>3286</v>
      </c>
      <c r="C95" s="105" t="s">
        <v>3287</v>
      </c>
      <c r="D95" s="105"/>
    </row>
    <row r="96" spans="1:4" ht="23">
      <c r="A96" s="105">
        <v>95</v>
      </c>
      <c r="B96" s="105" t="s">
        <v>3288</v>
      </c>
      <c r="C96" s="105" t="s">
        <v>3289</v>
      </c>
      <c r="D96" s="105"/>
    </row>
    <row r="97" spans="1:4" ht="23">
      <c r="A97" s="105">
        <v>96</v>
      </c>
      <c r="B97" s="105" t="s">
        <v>3290</v>
      </c>
      <c r="C97" s="105" t="s">
        <v>3291</v>
      </c>
      <c r="D97" s="105"/>
    </row>
    <row r="98" spans="1:4" ht="23">
      <c r="A98" s="105">
        <v>97</v>
      </c>
      <c r="B98" s="105" t="s">
        <v>3292</v>
      </c>
      <c r="C98" s="105" t="s">
        <v>3293</v>
      </c>
      <c r="D98" s="105"/>
    </row>
    <row r="99" spans="1:4" ht="23">
      <c r="A99" s="105">
        <v>98</v>
      </c>
      <c r="B99" s="105" t="s">
        <v>3294</v>
      </c>
      <c r="C99" s="105" t="s">
        <v>3295</v>
      </c>
      <c r="D99" s="105"/>
    </row>
    <row r="100" spans="1:4" ht="23">
      <c r="A100" s="105">
        <v>99</v>
      </c>
      <c r="B100" s="105" t="s">
        <v>3296</v>
      </c>
      <c r="C100" s="105" t="s">
        <v>3297</v>
      </c>
      <c r="D100" s="105"/>
    </row>
    <row r="101" spans="1:4" ht="23">
      <c r="A101" s="105">
        <v>100</v>
      </c>
      <c r="B101" s="105" t="s">
        <v>3298</v>
      </c>
      <c r="C101" s="105" t="s">
        <v>3299</v>
      </c>
      <c r="D101" s="105"/>
    </row>
    <row r="102" spans="1:4" ht="23">
      <c r="A102" s="105">
        <v>101</v>
      </c>
      <c r="B102" s="106" t="s">
        <v>3300</v>
      </c>
      <c r="C102" s="105" t="s">
        <v>3301</v>
      </c>
      <c r="D102" s="105"/>
    </row>
    <row r="103" spans="1:4" ht="23">
      <c r="A103" s="105">
        <v>102</v>
      </c>
      <c r="B103" s="105" t="s">
        <v>3302</v>
      </c>
      <c r="C103" s="105" t="s">
        <v>3303</v>
      </c>
      <c r="D103" s="105"/>
    </row>
    <row r="104" spans="1:4" ht="23">
      <c r="A104" s="105">
        <v>103</v>
      </c>
      <c r="B104" s="105" t="s">
        <v>3304</v>
      </c>
      <c r="C104" s="105" t="s">
        <v>3305</v>
      </c>
      <c r="D104" s="105"/>
    </row>
    <row r="105" spans="1:4" ht="23">
      <c r="A105" s="105">
        <v>104</v>
      </c>
      <c r="B105" s="105" t="s">
        <v>3306</v>
      </c>
      <c r="C105" s="105" t="s">
        <v>3307</v>
      </c>
      <c r="D105" s="105"/>
    </row>
    <row r="106" spans="1:4" ht="23">
      <c r="A106" s="105">
        <v>105</v>
      </c>
      <c r="B106" s="105" t="s">
        <v>3308</v>
      </c>
      <c r="C106" s="105" t="s">
        <v>3309</v>
      </c>
      <c r="D106" s="105"/>
    </row>
    <row r="107" spans="1:4" ht="23">
      <c r="A107" s="105">
        <v>106</v>
      </c>
      <c r="B107" s="105" t="s">
        <v>3310</v>
      </c>
      <c r="C107" s="105" t="s">
        <v>3311</v>
      </c>
      <c r="D107" s="105"/>
    </row>
    <row r="108" spans="1:4" ht="23">
      <c r="A108" s="105">
        <v>107</v>
      </c>
      <c r="B108" s="105" t="s">
        <v>3312</v>
      </c>
      <c r="C108" s="105" t="s">
        <v>3313</v>
      </c>
      <c r="D108" s="105"/>
    </row>
    <row r="109" spans="1:4" ht="23">
      <c r="A109" s="105">
        <v>108</v>
      </c>
      <c r="B109" s="105" t="s">
        <v>3314</v>
      </c>
      <c r="C109" s="105" t="s">
        <v>3315</v>
      </c>
      <c r="D109" s="105"/>
    </row>
    <row r="110" spans="1:4" ht="23">
      <c r="A110" s="105">
        <v>109</v>
      </c>
      <c r="B110" s="105" t="s">
        <v>3316</v>
      </c>
      <c r="C110" s="105" t="s">
        <v>3317</v>
      </c>
      <c r="D110" s="105"/>
    </row>
    <row r="111" spans="1:4" ht="23">
      <c r="A111" s="105">
        <v>110</v>
      </c>
      <c r="B111" s="105" t="s">
        <v>3318</v>
      </c>
      <c r="C111" s="105" t="s">
        <v>3319</v>
      </c>
      <c r="D111" s="105"/>
    </row>
    <row r="112" spans="1:4" ht="23">
      <c r="A112" s="105">
        <v>111</v>
      </c>
      <c r="B112" s="105" t="s">
        <v>3320</v>
      </c>
      <c r="C112" s="105" t="s">
        <v>3321</v>
      </c>
      <c r="D112" s="105"/>
    </row>
    <row r="113" spans="1:4" ht="23">
      <c r="A113" s="105">
        <v>112</v>
      </c>
      <c r="B113" s="105" t="s">
        <v>3322</v>
      </c>
      <c r="C113" s="105" t="s">
        <v>3323</v>
      </c>
      <c r="D113" s="105"/>
    </row>
    <row r="114" spans="1:4" ht="23">
      <c r="A114" s="105">
        <v>113</v>
      </c>
      <c r="B114" s="105" t="s">
        <v>3324</v>
      </c>
      <c r="C114" s="105" t="s">
        <v>3325</v>
      </c>
      <c r="D114" s="105"/>
    </row>
    <row r="115" spans="1:4" ht="23">
      <c r="A115" s="105">
        <v>114</v>
      </c>
      <c r="B115" s="105" t="s">
        <v>3326</v>
      </c>
      <c r="C115" s="105" t="s">
        <v>3327</v>
      </c>
      <c r="D115" s="105"/>
    </row>
    <row r="116" spans="1:4" ht="23">
      <c r="A116" s="105">
        <v>115</v>
      </c>
      <c r="B116" s="105" t="s">
        <v>3328</v>
      </c>
      <c r="C116" s="105" t="s">
        <v>3329</v>
      </c>
      <c r="D116" s="105"/>
    </row>
    <row r="117" spans="1:4" ht="23">
      <c r="A117" s="105">
        <v>116</v>
      </c>
      <c r="B117" s="105" t="s">
        <v>3330</v>
      </c>
      <c r="C117" s="105" t="s">
        <v>3331</v>
      </c>
      <c r="D117" s="105"/>
    </row>
    <row r="118" spans="1:4" ht="23">
      <c r="A118" s="105">
        <v>117</v>
      </c>
      <c r="B118" s="105" t="s">
        <v>3332</v>
      </c>
      <c r="C118" s="105" t="s">
        <v>3333</v>
      </c>
      <c r="D118" s="105"/>
    </row>
    <row r="119" spans="1:4" ht="23">
      <c r="A119" s="105">
        <v>118</v>
      </c>
      <c r="B119" s="105" t="s">
        <v>4064</v>
      </c>
      <c r="C119" s="105" t="s">
        <v>3334</v>
      </c>
      <c r="D119" s="105"/>
    </row>
    <row r="120" spans="1:4" ht="23">
      <c r="A120" s="105">
        <v>119</v>
      </c>
      <c r="B120" s="105" t="s">
        <v>3335</v>
      </c>
      <c r="C120" s="105" t="s">
        <v>3336</v>
      </c>
      <c r="D120" s="105"/>
    </row>
    <row r="121" spans="1:4" ht="23">
      <c r="A121" s="105">
        <v>120</v>
      </c>
      <c r="B121" s="119" t="s">
        <v>3337</v>
      </c>
      <c r="C121" s="105" t="s">
        <v>3338</v>
      </c>
      <c r="D121" s="105"/>
    </row>
    <row r="122" spans="1:4" ht="23">
      <c r="A122" s="105">
        <v>121</v>
      </c>
      <c r="B122" s="105" t="s">
        <v>3339</v>
      </c>
      <c r="C122" s="105" t="s">
        <v>3340</v>
      </c>
      <c r="D122" s="105"/>
    </row>
    <row r="123" spans="1:4" ht="23">
      <c r="A123" s="105">
        <v>122</v>
      </c>
      <c r="B123" s="119" t="s">
        <v>3341</v>
      </c>
      <c r="C123" s="105" t="s">
        <v>3342</v>
      </c>
      <c r="D123" s="105"/>
    </row>
    <row r="124" spans="1:4" ht="23">
      <c r="A124" s="105">
        <v>123</v>
      </c>
      <c r="B124" s="105" t="s">
        <v>3343</v>
      </c>
      <c r="C124" s="105" t="s">
        <v>3344</v>
      </c>
      <c r="D124" s="105"/>
    </row>
    <row r="125" spans="1:4" ht="23">
      <c r="A125" s="105">
        <v>124</v>
      </c>
      <c r="B125" s="105" t="s">
        <v>3345</v>
      </c>
      <c r="C125" s="105" t="s">
        <v>3346</v>
      </c>
      <c r="D125" s="105"/>
    </row>
    <row r="126" spans="1:4" ht="46">
      <c r="A126" s="105">
        <v>125</v>
      </c>
      <c r="B126" s="105" t="s">
        <v>3347</v>
      </c>
      <c r="C126" s="105" t="s">
        <v>3348</v>
      </c>
      <c r="D126" s="105"/>
    </row>
    <row r="127" spans="1:4" ht="23">
      <c r="A127" s="105">
        <v>126</v>
      </c>
      <c r="B127" s="105" t="s">
        <v>3349</v>
      </c>
      <c r="C127" s="105" t="s">
        <v>3350</v>
      </c>
      <c r="D127" s="105"/>
    </row>
    <row r="128" spans="1:4" ht="23">
      <c r="A128" s="105">
        <v>127</v>
      </c>
      <c r="B128" s="105" t="s">
        <v>4065</v>
      </c>
      <c r="C128" s="105" t="s">
        <v>3351</v>
      </c>
      <c r="D128" s="105"/>
    </row>
    <row r="129" spans="1:4" ht="23">
      <c r="A129" s="105">
        <v>128</v>
      </c>
      <c r="B129" s="119" t="s">
        <v>3352</v>
      </c>
      <c r="C129" s="105" t="s">
        <v>3353</v>
      </c>
      <c r="D129" s="105"/>
    </row>
    <row r="130" spans="1:4" ht="23">
      <c r="A130" s="105">
        <v>129</v>
      </c>
      <c r="B130" s="119" t="s">
        <v>3354</v>
      </c>
      <c r="C130" s="105" t="s">
        <v>3355</v>
      </c>
      <c r="D130" s="105"/>
    </row>
    <row r="131" spans="1:4" ht="23">
      <c r="A131" s="105">
        <v>130</v>
      </c>
      <c r="B131" s="105" t="s">
        <v>3356</v>
      </c>
      <c r="C131" s="105" t="s">
        <v>3357</v>
      </c>
      <c r="D131" s="105"/>
    </row>
    <row r="132" spans="1:4" ht="46">
      <c r="A132" s="105">
        <v>131</v>
      </c>
      <c r="B132" s="105" t="s">
        <v>3358</v>
      </c>
      <c r="C132" s="105" t="s">
        <v>3359</v>
      </c>
      <c r="D132" s="105"/>
    </row>
    <row r="133" spans="1:4" ht="46">
      <c r="A133" s="105">
        <v>132</v>
      </c>
      <c r="B133" s="119" t="s">
        <v>3360</v>
      </c>
      <c r="C133" s="105" t="s">
        <v>3361</v>
      </c>
      <c r="D133" s="105"/>
    </row>
    <row r="134" spans="1:4" ht="23">
      <c r="A134" s="105">
        <v>133</v>
      </c>
      <c r="B134" s="119" t="s">
        <v>3362</v>
      </c>
      <c r="C134" s="105" t="s">
        <v>3363</v>
      </c>
      <c r="D134" s="105"/>
    </row>
    <row r="135" spans="1:4" ht="23">
      <c r="A135" s="105">
        <v>134</v>
      </c>
      <c r="B135" s="105" t="s">
        <v>3364</v>
      </c>
      <c r="C135" s="105" t="s">
        <v>3365</v>
      </c>
      <c r="D135" s="105"/>
    </row>
    <row r="136" spans="1:4" ht="23">
      <c r="A136" s="105">
        <v>135</v>
      </c>
      <c r="B136" s="105" t="s">
        <v>3366</v>
      </c>
      <c r="C136" s="105" t="s">
        <v>3367</v>
      </c>
      <c r="D136" s="105"/>
    </row>
    <row r="137" spans="1:4" ht="23">
      <c r="A137" s="105">
        <v>136</v>
      </c>
      <c r="B137" s="105" t="s">
        <v>3368</v>
      </c>
      <c r="C137" s="105" t="s">
        <v>3369</v>
      </c>
      <c r="D137" s="105"/>
    </row>
    <row r="138" spans="1:4" ht="23">
      <c r="A138" s="105">
        <v>137</v>
      </c>
      <c r="B138" s="105" t="s">
        <v>3370</v>
      </c>
      <c r="C138" s="105" t="s">
        <v>3371</v>
      </c>
      <c r="D138" s="105"/>
    </row>
    <row r="139" spans="1:4" ht="23">
      <c r="A139" s="105">
        <v>138</v>
      </c>
      <c r="B139" s="105" t="s">
        <v>3372</v>
      </c>
      <c r="C139" s="105" t="s">
        <v>3373</v>
      </c>
      <c r="D139" s="105"/>
    </row>
    <row r="140" spans="1:4" ht="23">
      <c r="A140" s="105">
        <v>139</v>
      </c>
      <c r="B140" s="105" t="s">
        <v>3374</v>
      </c>
      <c r="C140" s="105" t="s">
        <v>3375</v>
      </c>
      <c r="D140" s="105"/>
    </row>
    <row r="141" spans="1:4" ht="23">
      <c r="A141" s="105">
        <v>140</v>
      </c>
      <c r="B141" s="105" t="s">
        <v>3376</v>
      </c>
      <c r="C141" s="105" t="s">
        <v>3377</v>
      </c>
      <c r="D141" s="105"/>
    </row>
    <row r="142" spans="1:4" ht="23">
      <c r="A142" s="105">
        <v>141</v>
      </c>
      <c r="B142" s="105" t="s">
        <v>3378</v>
      </c>
      <c r="C142" s="105" t="s">
        <v>3379</v>
      </c>
      <c r="D142" s="105"/>
    </row>
    <row r="143" spans="1:4" ht="69">
      <c r="A143" s="105">
        <v>142</v>
      </c>
      <c r="B143" s="105" t="s">
        <v>3380</v>
      </c>
      <c r="C143" s="105" t="s">
        <v>3381</v>
      </c>
      <c r="D143" s="105"/>
    </row>
    <row r="144" spans="1:4" ht="23">
      <c r="A144" s="105">
        <v>143</v>
      </c>
      <c r="B144" s="105" t="s">
        <v>3382</v>
      </c>
      <c r="C144" s="105" t="s">
        <v>3383</v>
      </c>
      <c r="D144" s="105"/>
    </row>
    <row r="145" spans="1:4" ht="23">
      <c r="A145" s="105">
        <v>144</v>
      </c>
      <c r="B145" s="119" t="s">
        <v>3384</v>
      </c>
      <c r="C145" s="105" t="s">
        <v>3385</v>
      </c>
      <c r="D145" s="105"/>
    </row>
    <row r="146" spans="1:4" ht="46">
      <c r="A146" s="105">
        <v>145</v>
      </c>
      <c r="B146" s="105" t="s">
        <v>3386</v>
      </c>
      <c r="C146" s="105" t="s">
        <v>3387</v>
      </c>
      <c r="D146" s="105"/>
    </row>
    <row r="147" spans="1:4" ht="69">
      <c r="A147" s="105">
        <v>146</v>
      </c>
      <c r="B147" s="105" t="s">
        <v>3388</v>
      </c>
      <c r="C147" s="105" t="s">
        <v>3389</v>
      </c>
      <c r="D147" s="105"/>
    </row>
    <row r="148" spans="1:4" ht="33">
      <c r="A148" s="105">
        <v>147</v>
      </c>
      <c r="B148" s="105" t="s">
        <v>4066</v>
      </c>
      <c r="C148" s="105" t="s">
        <v>3390</v>
      </c>
      <c r="D148" s="105"/>
    </row>
    <row r="149" spans="1:4" ht="46">
      <c r="A149" s="105">
        <v>148</v>
      </c>
      <c r="B149" s="105" t="s">
        <v>4067</v>
      </c>
      <c r="C149" s="105" t="s">
        <v>3391</v>
      </c>
      <c r="D149" s="105"/>
    </row>
    <row r="150" spans="1:4" ht="46">
      <c r="A150" s="105">
        <v>149</v>
      </c>
      <c r="B150" s="119" t="s">
        <v>3392</v>
      </c>
      <c r="C150" s="105" t="s">
        <v>3393</v>
      </c>
      <c r="D150" s="105"/>
    </row>
    <row r="151" spans="1:4" ht="23">
      <c r="A151" s="105">
        <v>150</v>
      </c>
      <c r="B151" s="105" t="s">
        <v>3394</v>
      </c>
      <c r="C151" s="105" t="s">
        <v>3395</v>
      </c>
      <c r="D151" s="105"/>
    </row>
    <row r="152" spans="1:4" ht="46">
      <c r="A152" s="105">
        <v>151</v>
      </c>
      <c r="B152" s="105" t="s">
        <v>3396</v>
      </c>
      <c r="C152" s="105" t="s">
        <v>3397</v>
      </c>
      <c r="D152" s="105"/>
    </row>
    <row r="153" spans="1:4" ht="33">
      <c r="A153" s="105">
        <v>152</v>
      </c>
      <c r="B153" s="105" t="s">
        <v>4068</v>
      </c>
      <c r="C153" s="105" t="s">
        <v>3398</v>
      </c>
      <c r="D153" s="105"/>
    </row>
    <row r="154" spans="1:4" ht="23">
      <c r="A154" s="105">
        <v>153</v>
      </c>
      <c r="B154" s="105" t="s">
        <v>3399</v>
      </c>
      <c r="C154" s="105" t="s">
        <v>3400</v>
      </c>
      <c r="D154" s="105"/>
    </row>
    <row r="155" spans="1:4" ht="46">
      <c r="A155" s="105">
        <v>154</v>
      </c>
      <c r="B155" s="119" t="s">
        <v>3401</v>
      </c>
      <c r="C155" s="105" t="s">
        <v>3402</v>
      </c>
      <c r="D155" s="105"/>
    </row>
    <row r="156" spans="1:4" ht="46">
      <c r="A156" s="105">
        <v>155</v>
      </c>
      <c r="B156" s="105" t="s">
        <v>3403</v>
      </c>
      <c r="C156" s="105" t="s">
        <v>3404</v>
      </c>
      <c r="D156" s="105"/>
    </row>
    <row r="157" spans="1:4" ht="46">
      <c r="A157" s="105">
        <v>156</v>
      </c>
      <c r="B157" s="119" t="s">
        <v>2491</v>
      </c>
      <c r="C157" s="105" t="s">
        <v>3405</v>
      </c>
      <c r="D157" s="105"/>
    </row>
    <row r="158" spans="1:4" ht="46">
      <c r="A158" s="105">
        <v>157</v>
      </c>
      <c r="B158" s="105" t="s">
        <v>3406</v>
      </c>
      <c r="C158" s="105" t="s">
        <v>3407</v>
      </c>
      <c r="D158" s="105"/>
    </row>
    <row r="159" spans="1:4" ht="46">
      <c r="A159" s="105">
        <v>158</v>
      </c>
      <c r="B159" s="105" t="s">
        <v>3408</v>
      </c>
      <c r="C159" s="105" t="s">
        <v>3409</v>
      </c>
      <c r="D159" s="105"/>
    </row>
    <row r="160" spans="1:4" ht="23">
      <c r="A160" s="105">
        <v>159</v>
      </c>
      <c r="B160" s="106" t="s">
        <v>3410</v>
      </c>
      <c r="C160" s="105" t="s">
        <v>3411</v>
      </c>
      <c r="D160" s="105"/>
    </row>
    <row r="161" spans="1:4" ht="46">
      <c r="A161" s="105">
        <v>160</v>
      </c>
      <c r="B161" s="105" t="s">
        <v>3412</v>
      </c>
      <c r="C161" s="105" t="s">
        <v>3413</v>
      </c>
      <c r="D161" s="105"/>
    </row>
    <row r="162" spans="1:4" ht="23">
      <c r="A162" s="105">
        <v>161</v>
      </c>
      <c r="B162" s="119" t="s">
        <v>3414</v>
      </c>
      <c r="C162" s="105" t="s">
        <v>3415</v>
      </c>
      <c r="D162" s="105"/>
    </row>
    <row r="163" spans="1:4" ht="23">
      <c r="A163" s="105">
        <v>162</v>
      </c>
      <c r="B163" s="105" t="s">
        <v>3416</v>
      </c>
      <c r="C163" s="105" t="s">
        <v>3417</v>
      </c>
      <c r="D163" s="105"/>
    </row>
    <row r="164" spans="1:4" ht="23">
      <c r="A164" s="105">
        <v>163</v>
      </c>
      <c r="B164" s="105" t="s">
        <v>1689</v>
      </c>
      <c r="C164" s="105" t="s">
        <v>1690</v>
      </c>
      <c r="D164" s="105"/>
    </row>
    <row r="165" spans="1:4" ht="23">
      <c r="A165" s="105">
        <v>164</v>
      </c>
      <c r="B165" s="105" t="s">
        <v>1691</v>
      </c>
      <c r="C165" s="105" t="s">
        <v>1692</v>
      </c>
      <c r="D165" s="105"/>
    </row>
    <row r="166" spans="1:4" ht="23">
      <c r="A166" s="105">
        <v>165</v>
      </c>
      <c r="B166" s="105" t="s">
        <v>3418</v>
      </c>
      <c r="C166" s="105" t="s">
        <v>3419</v>
      </c>
      <c r="D166" s="105"/>
    </row>
    <row r="167" spans="1:4" ht="46">
      <c r="A167" s="105">
        <v>166</v>
      </c>
      <c r="B167" s="105" t="s">
        <v>3420</v>
      </c>
      <c r="C167" s="105" t="s">
        <v>3421</v>
      </c>
      <c r="D167" s="105"/>
    </row>
    <row r="168" spans="1:4" ht="23">
      <c r="A168" s="105">
        <v>167</v>
      </c>
      <c r="B168" s="105" t="s">
        <v>3422</v>
      </c>
      <c r="C168" s="105" t="s">
        <v>3423</v>
      </c>
      <c r="D168" s="105"/>
    </row>
    <row r="169" spans="1:4" ht="46">
      <c r="A169" s="105">
        <v>168</v>
      </c>
      <c r="B169" s="105" t="s">
        <v>3424</v>
      </c>
      <c r="C169" s="105" t="s">
        <v>3425</v>
      </c>
      <c r="D169" s="105"/>
    </row>
    <row r="170" spans="1:4" ht="46">
      <c r="A170" s="105">
        <v>169</v>
      </c>
      <c r="B170" s="105" t="s">
        <v>3426</v>
      </c>
      <c r="C170" s="105" t="s">
        <v>3427</v>
      </c>
      <c r="D170" s="105"/>
    </row>
    <row r="171" spans="1:4" ht="46">
      <c r="A171" s="105">
        <v>170</v>
      </c>
      <c r="B171" s="105" t="s">
        <v>3428</v>
      </c>
      <c r="C171" s="105" t="s">
        <v>3429</v>
      </c>
      <c r="D171" s="105"/>
    </row>
    <row r="172" spans="1:4" ht="23">
      <c r="A172" s="105">
        <v>171</v>
      </c>
      <c r="B172" s="105" t="s">
        <v>3430</v>
      </c>
      <c r="C172" s="105" t="s">
        <v>3431</v>
      </c>
      <c r="D172" s="105"/>
    </row>
    <row r="173" spans="1:4" ht="23">
      <c r="A173" s="105">
        <v>172</v>
      </c>
      <c r="B173" s="119" t="s">
        <v>3432</v>
      </c>
      <c r="C173" s="105" t="s">
        <v>3433</v>
      </c>
      <c r="D173" s="105"/>
    </row>
    <row r="174" spans="1:4" ht="23">
      <c r="A174" s="105">
        <v>173</v>
      </c>
      <c r="B174" s="119" t="s">
        <v>3434</v>
      </c>
      <c r="C174" s="105" t="s">
        <v>3435</v>
      </c>
      <c r="D174" s="105"/>
    </row>
    <row r="175" spans="1:4" ht="23">
      <c r="A175" s="105">
        <v>174</v>
      </c>
      <c r="B175" s="119" t="s">
        <v>3436</v>
      </c>
      <c r="C175" s="105" t="s">
        <v>3437</v>
      </c>
      <c r="D175" s="105"/>
    </row>
    <row r="176" spans="1:4" ht="23">
      <c r="A176" s="105">
        <v>175</v>
      </c>
      <c r="B176" s="119" t="s">
        <v>3438</v>
      </c>
      <c r="C176" s="105" t="s">
        <v>3439</v>
      </c>
      <c r="D176" s="105"/>
    </row>
    <row r="177" spans="1:4" ht="23">
      <c r="A177" s="105">
        <v>176</v>
      </c>
      <c r="B177" s="119" t="s">
        <v>3440</v>
      </c>
      <c r="C177" s="105" t="s">
        <v>3441</v>
      </c>
      <c r="D177" s="105"/>
    </row>
    <row r="178" spans="1:4" ht="23">
      <c r="A178" s="105">
        <v>177</v>
      </c>
      <c r="B178" s="119" t="s">
        <v>3442</v>
      </c>
      <c r="C178" s="105" t="s">
        <v>3443</v>
      </c>
      <c r="D178" s="105"/>
    </row>
    <row r="179" spans="1:4" ht="23">
      <c r="A179" s="105">
        <v>178</v>
      </c>
      <c r="B179" s="105" t="s">
        <v>3444</v>
      </c>
      <c r="C179" s="105" t="s">
        <v>3445</v>
      </c>
      <c r="D179" s="105"/>
    </row>
    <row r="180" spans="1:4" ht="23">
      <c r="A180" s="105">
        <v>179</v>
      </c>
      <c r="B180" s="119" t="s">
        <v>3446</v>
      </c>
      <c r="C180" s="105" t="s">
        <v>3447</v>
      </c>
      <c r="D180" s="105"/>
    </row>
    <row r="181" spans="1:4" ht="23">
      <c r="A181" s="105">
        <v>180</v>
      </c>
      <c r="B181" s="119" t="s">
        <v>3448</v>
      </c>
      <c r="C181" s="105" t="s">
        <v>3449</v>
      </c>
      <c r="D181" s="105"/>
    </row>
    <row r="182" spans="1:4" ht="23">
      <c r="A182" s="105">
        <v>181</v>
      </c>
      <c r="B182" s="119" t="s">
        <v>3450</v>
      </c>
      <c r="C182" s="105" t="s">
        <v>3451</v>
      </c>
      <c r="D182" s="105"/>
    </row>
    <row r="183" spans="1:4" ht="23">
      <c r="A183" s="105">
        <v>182</v>
      </c>
      <c r="B183" s="119" t="s">
        <v>3452</v>
      </c>
      <c r="C183" s="105" t="s">
        <v>3453</v>
      </c>
      <c r="D183" s="105"/>
    </row>
    <row r="184" spans="1:4" ht="23">
      <c r="A184" s="105">
        <v>183</v>
      </c>
      <c r="B184" s="105" t="s">
        <v>3454</v>
      </c>
      <c r="C184" s="105" t="s">
        <v>1765</v>
      </c>
      <c r="D184" s="105"/>
    </row>
    <row r="185" spans="1:4" ht="23">
      <c r="A185" s="105">
        <v>184</v>
      </c>
      <c r="B185" s="105" t="s">
        <v>3455</v>
      </c>
      <c r="C185" s="105" t="s">
        <v>3456</v>
      </c>
      <c r="D185" s="105"/>
    </row>
    <row r="186" spans="1:4" ht="46">
      <c r="A186" s="105">
        <v>185</v>
      </c>
      <c r="B186" s="105" t="s">
        <v>1795</v>
      </c>
      <c r="C186" s="105" t="s">
        <v>1796</v>
      </c>
      <c r="D186" s="105"/>
    </row>
    <row r="187" spans="1:4" ht="46">
      <c r="A187" s="105">
        <v>186</v>
      </c>
      <c r="B187" s="105" t="s">
        <v>3457</v>
      </c>
      <c r="C187" s="105" t="s">
        <v>3458</v>
      </c>
      <c r="D187" s="105"/>
    </row>
    <row r="188" spans="1:4" ht="46">
      <c r="A188" s="105">
        <v>187</v>
      </c>
      <c r="B188" s="105" t="s">
        <v>1085</v>
      </c>
      <c r="C188" s="105" t="s">
        <v>1086</v>
      </c>
      <c r="D188" s="105"/>
    </row>
    <row r="189" spans="1:4" ht="46">
      <c r="A189" s="105">
        <v>188</v>
      </c>
      <c r="B189" s="105" t="s">
        <v>1087</v>
      </c>
      <c r="C189" s="105" t="s">
        <v>1088</v>
      </c>
      <c r="D189" s="34"/>
    </row>
    <row r="190" spans="1:4" ht="46">
      <c r="A190" s="105">
        <v>189</v>
      </c>
      <c r="B190" s="105" t="s">
        <v>1089</v>
      </c>
      <c r="C190" s="105" t="s">
        <v>1090</v>
      </c>
      <c r="D190" s="105"/>
    </row>
    <row r="191" spans="1:4" ht="115">
      <c r="A191" s="105">
        <v>190</v>
      </c>
      <c r="B191" s="105" t="s">
        <v>1096</v>
      </c>
      <c r="C191" s="105" t="s">
        <v>1097</v>
      </c>
      <c r="D191" s="105"/>
    </row>
    <row r="192" spans="1:4" ht="23">
      <c r="A192" s="105">
        <v>191</v>
      </c>
      <c r="B192" s="105" t="s">
        <v>1106</v>
      </c>
      <c r="C192" s="105" t="s">
        <v>1107</v>
      </c>
      <c r="D192" s="105"/>
    </row>
    <row r="193" spans="1:4" ht="23">
      <c r="A193" s="105">
        <v>192</v>
      </c>
      <c r="B193" s="105" t="s">
        <v>1100</v>
      </c>
      <c r="C193" s="105" t="s">
        <v>1101</v>
      </c>
      <c r="D193" s="105"/>
    </row>
    <row r="194" spans="1:4" ht="23">
      <c r="A194" s="105">
        <v>193</v>
      </c>
      <c r="B194" s="105" t="s">
        <v>1102</v>
      </c>
      <c r="C194" s="105" t="s">
        <v>1103</v>
      </c>
      <c r="D194" s="105"/>
    </row>
    <row r="195" spans="1:4" ht="46">
      <c r="A195" s="105">
        <v>194</v>
      </c>
      <c r="B195" s="105" t="s">
        <v>1104</v>
      </c>
      <c r="C195" s="105" t="s">
        <v>1105</v>
      </c>
      <c r="D195" s="105"/>
    </row>
    <row r="196" spans="1:4" ht="46">
      <c r="A196" s="105">
        <v>195</v>
      </c>
      <c r="B196" s="105" t="s">
        <v>1202</v>
      </c>
      <c r="C196" s="105" t="s">
        <v>1203</v>
      </c>
      <c r="D196" s="105"/>
    </row>
    <row r="197" spans="1:4" ht="69">
      <c r="A197" s="105">
        <v>196</v>
      </c>
      <c r="B197" s="105" t="s">
        <v>1126</v>
      </c>
      <c r="C197" s="105" t="s">
        <v>1127</v>
      </c>
      <c r="D197" s="105"/>
    </row>
    <row r="198" spans="1:4" ht="23">
      <c r="A198" s="105">
        <v>197</v>
      </c>
      <c r="B198" s="105" t="s">
        <v>1128</v>
      </c>
      <c r="C198" s="105" t="s">
        <v>1129</v>
      </c>
      <c r="D198" s="105"/>
    </row>
    <row r="199" spans="1:4" ht="69">
      <c r="A199" s="105">
        <v>198</v>
      </c>
      <c r="B199" s="105" t="s">
        <v>1114</v>
      </c>
      <c r="C199" s="105" t="s">
        <v>1115</v>
      </c>
      <c r="D199" s="105"/>
    </row>
    <row r="200" spans="1:4" ht="23">
      <c r="A200" s="105">
        <v>199</v>
      </c>
      <c r="B200" s="105" t="s">
        <v>3459</v>
      </c>
      <c r="C200" s="105" t="s">
        <v>3460</v>
      </c>
      <c r="D200" s="105"/>
    </row>
    <row r="201" spans="1:4" ht="23">
      <c r="A201" s="105">
        <v>200</v>
      </c>
      <c r="B201" s="105" t="s">
        <v>3461</v>
      </c>
      <c r="C201" s="105" t="s">
        <v>3462</v>
      </c>
      <c r="D201" s="105"/>
    </row>
    <row r="202" spans="1:4" ht="23">
      <c r="A202" s="105">
        <v>201</v>
      </c>
      <c r="B202" s="105" t="s">
        <v>3463</v>
      </c>
      <c r="C202" s="105" t="s">
        <v>3464</v>
      </c>
      <c r="D202" s="105"/>
    </row>
    <row r="203" spans="1:4" ht="23">
      <c r="A203" s="105">
        <v>202</v>
      </c>
      <c r="B203" s="105" t="s">
        <v>3465</v>
      </c>
      <c r="C203" s="105" t="s">
        <v>3466</v>
      </c>
      <c r="D203" s="105"/>
    </row>
    <row r="204" spans="1:4" ht="23">
      <c r="A204" s="105">
        <v>203</v>
      </c>
      <c r="B204" s="105" t="s">
        <v>3467</v>
      </c>
      <c r="C204" s="105" t="s">
        <v>3468</v>
      </c>
      <c r="D204" s="105"/>
    </row>
    <row r="205" spans="1:4" ht="23">
      <c r="A205" s="105">
        <v>204</v>
      </c>
      <c r="B205" s="105" t="s">
        <v>3469</v>
      </c>
      <c r="C205" s="105" t="s">
        <v>3470</v>
      </c>
      <c r="D205" s="105"/>
    </row>
    <row r="206" spans="1:4" ht="23">
      <c r="A206" s="105">
        <v>205</v>
      </c>
      <c r="B206" s="105" t="s">
        <v>3471</v>
      </c>
      <c r="C206" s="105" t="s">
        <v>3472</v>
      </c>
      <c r="D206" s="105"/>
    </row>
    <row r="207" spans="1:4" ht="23">
      <c r="A207" s="105">
        <v>206</v>
      </c>
      <c r="B207" s="105" t="s">
        <v>3473</v>
      </c>
      <c r="C207" s="105" t="s">
        <v>3474</v>
      </c>
      <c r="D207" s="34"/>
    </row>
    <row r="208" spans="1:4" ht="23">
      <c r="A208" s="105">
        <v>207</v>
      </c>
      <c r="B208" s="105" t="s">
        <v>3475</v>
      </c>
      <c r="C208" s="105" t="s">
        <v>3476</v>
      </c>
      <c r="D208" s="105"/>
    </row>
    <row r="209" spans="1:4" ht="23">
      <c r="A209" s="105">
        <v>208</v>
      </c>
      <c r="B209" s="105" t="s">
        <v>3477</v>
      </c>
      <c r="C209" s="105" t="s">
        <v>3443</v>
      </c>
      <c r="D209" s="105"/>
    </row>
    <row r="210" spans="1:4" ht="23">
      <c r="A210" s="105">
        <v>209</v>
      </c>
      <c r="B210" s="105" t="s">
        <v>3478</v>
      </c>
      <c r="C210" s="105" t="s">
        <v>3229</v>
      </c>
      <c r="D210" s="105"/>
    </row>
    <row r="211" spans="1:4" ht="23">
      <c r="A211" s="105">
        <v>210</v>
      </c>
      <c r="B211" s="105" t="s">
        <v>3479</v>
      </c>
      <c r="C211" s="105" t="s">
        <v>3480</v>
      </c>
      <c r="D211" s="105"/>
    </row>
    <row r="212" spans="1:4" ht="46">
      <c r="A212" s="105">
        <v>211</v>
      </c>
      <c r="B212" s="105" t="s">
        <v>3481</v>
      </c>
      <c r="C212" s="105" t="s">
        <v>3482</v>
      </c>
      <c r="D212" s="105"/>
    </row>
    <row r="213" spans="1:4" ht="23">
      <c r="A213" s="105">
        <v>212</v>
      </c>
      <c r="B213" s="105" t="s">
        <v>3483</v>
      </c>
      <c r="C213" s="105" t="s">
        <v>3484</v>
      </c>
      <c r="D213" s="105"/>
    </row>
    <row r="214" spans="1:4" ht="23">
      <c r="A214" s="105">
        <v>213</v>
      </c>
      <c r="B214" s="105" t="s">
        <v>3485</v>
      </c>
      <c r="C214" s="105" t="s">
        <v>3486</v>
      </c>
      <c r="D214" s="105"/>
    </row>
    <row r="215" spans="1:4" ht="23">
      <c r="A215" s="105">
        <v>214</v>
      </c>
      <c r="B215" s="105" t="s">
        <v>3487</v>
      </c>
      <c r="C215" s="105" t="s">
        <v>3488</v>
      </c>
      <c r="D215" s="105"/>
    </row>
    <row r="216" spans="1:4" ht="23">
      <c r="A216" s="105">
        <v>215</v>
      </c>
      <c r="B216" s="105" t="s">
        <v>3489</v>
      </c>
      <c r="C216" s="105" t="s">
        <v>3490</v>
      </c>
      <c r="D216" s="105"/>
    </row>
    <row r="217" spans="1:4" ht="69">
      <c r="A217" s="105">
        <v>216</v>
      </c>
      <c r="B217" s="105" t="s">
        <v>975</v>
      </c>
      <c r="C217" s="105" t="s">
        <v>976</v>
      </c>
      <c r="D217" s="105"/>
    </row>
    <row r="218" spans="1:4" ht="69">
      <c r="A218" s="105">
        <v>217</v>
      </c>
      <c r="B218" s="105" t="s">
        <v>977</v>
      </c>
      <c r="C218" s="105" t="s">
        <v>978</v>
      </c>
      <c r="D218" s="105"/>
    </row>
    <row r="219" spans="1:4" ht="23">
      <c r="A219" s="105">
        <v>218</v>
      </c>
      <c r="B219" s="105" t="s">
        <v>1003</v>
      </c>
      <c r="C219" s="105" t="s">
        <v>1004</v>
      </c>
      <c r="D219" s="105"/>
    </row>
    <row r="220" spans="1:4" ht="23">
      <c r="A220" s="105">
        <v>219</v>
      </c>
      <c r="B220" s="105" t="s">
        <v>1075</v>
      </c>
      <c r="C220" s="105" t="s">
        <v>1076</v>
      </c>
      <c r="D220" s="105"/>
    </row>
    <row r="221" spans="1:4" ht="23">
      <c r="A221" s="105">
        <v>220</v>
      </c>
      <c r="B221" s="105" t="s">
        <v>1077</v>
      </c>
      <c r="C221" s="105" t="s">
        <v>1078</v>
      </c>
      <c r="D221" s="105"/>
    </row>
    <row r="222" spans="1:4" ht="23">
      <c r="A222" s="105">
        <v>221</v>
      </c>
      <c r="B222" s="107" t="s">
        <v>1079</v>
      </c>
      <c r="C222" s="105" t="s">
        <v>1080</v>
      </c>
      <c r="D222" s="105"/>
    </row>
    <row r="223" spans="1:4" ht="23">
      <c r="A223" s="105">
        <v>222</v>
      </c>
      <c r="B223" s="105" t="s">
        <v>1081</v>
      </c>
      <c r="C223" s="105" t="s">
        <v>1082</v>
      </c>
      <c r="D223" s="105"/>
    </row>
    <row r="224" spans="1:4" ht="23">
      <c r="A224" s="105">
        <v>223</v>
      </c>
      <c r="B224" s="105" t="s">
        <v>1083</v>
      </c>
      <c r="C224" s="105" t="s">
        <v>1084</v>
      </c>
      <c r="D224" s="105"/>
    </row>
    <row r="225" spans="1:4" ht="23">
      <c r="A225" s="105">
        <v>224</v>
      </c>
      <c r="B225" s="105" t="s">
        <v>1148</v>
      </c>
      <c r="C225" s="105" t="s">
        <v>1149</v>
      </c>
      <c r="D225" s="105"/>
    </row>
    <row r="226" spans="1:4" ht="23">
      <c r="A226" s="105">
        <v>225</v>
      </c>
      <c r="B226" s="105" t="s">
        <v>1150</v>
      </c>
      <c r="C226" s="105" t="s">
        <v>1151</v>
      </c>
      <c r="D226" s="105"/>
    </row>
    <row r="227" spans="1:4" ht="23">
      <c r="A227" s="105">
        <v>226</v>
      </c>
      <c r="B227" s="105" t="s">
        <v>1152</v>
      </c>
      <c r="C227" s="105" t="s">
        <v>1153</v>
      </c>
      <c r="D227" s="105"/>
    </row>
    <row r="228" spans="1:4" ht="23">
      <c r="A228" s="105">
        <v>227</v>
      </c>
      <c r="B228" s="105" t="s">
        <v>1154</v>
      </c>
      <c r="C228" s="105" t="s">
        <v>1155</v>
      </c>
      <c r="D228" s="105"/>
    </row>
    <row r="229" spans="1:4" ht="23">
      <c r="A229" s="105">
        <v>228</v>
      </c>
      <c r="B229" s="105" t="s">
        <v>1156</v>
      </c>
      <c r="C229" s="105" t="s">
        <v>1157</v>
      </c>
      <c r="D229" s="105"/>
    </row>
    <row r="230" spans="1:4" ht="23">
      <c r="A230" s="105">
        <v>229</v>
      </c>
      <c r="B230" s="105" t="s">
        <v>1158</v>
      </c>
      <c r="C230" s="105" t="s">
        <v>1159</v>
      </c>
      <c r="D230" s="105"/>
    </row>
    <row r="231" spans="1:4" ht="23">
      <c r="A231" s="105">
        <v>230</v>
      </c>
      <c r="B231" s="105" t="s">
        <v>1160</v>
      </c>
      <c r="C231" s="105" t="s">
        <v>1161</v>
      </c>
      <c r="D231" s="105"/>
    </row>
    <row r="232" spans="1:4" ht="23">
      <c r="A232" s="105">
        <v>231</v>
      </c>
      <c r="B232" s="105" t="s">
        <v>1162</v>
      </c>
      <c r="C232" s="105" t="s">
        <v>1163</v>
      </c>
      <c r="D232" s="105"/>
    </row>
    <row r="233" spans="1:4" ht="23">
      <c r="A233" s="105">
        <v>232</v>
      </c>
      <c r="B233" s="105" t="s">
        <v>1164</v>
      </c>
      <c r="C233" s="105" t="s">
        <v>1165</v>
      </c>
      <c r="D233" s="105"/>
    </row>
    <row r="234" spans="1:4" ht="23">
      <c r="A234" s="105">
        <v>233</v>
      </c>
      <c r="B234" s="105" t="s">
        <v>1166</v>
      </c>
      <c r="C234" s="105" t="s">
        <v>1167</v>
      </c>
      <c r="D234" s="105"/>
    </row>
    <row r="235" spans="1:4" ht="23">
      <c r="A235" s="105">
        <v>234</v>
      </c>
      <c r="B235" s="105" t="s">
        <v>1168</v>
      </c>
      <c r="C235" s="105" t="s">
        <v>1169</v>
      </c>
      <c r="D235" s="105"/>
    </row>
    <row r="236" spans="1:4" ht="23">
      <c r="A236" s="105">
        <v>235</v>
      </c>
      <c r="B236" s="105" t="s">
        <v>1170</v>
      </c>
      <c r="C236" s="105" t="s">
        <v>1171</v>
      </c>
      <c r="D236" s="105"/>
    </row>
    <row r="237" spans="1:4" ht="23">
      <c r="A237" s="105">
        <v>236</v>
      </c>
      <c r="B237" s="105" t="s">
        <v>1172</v>
      </c>
      <c r="C237" s="105" t="s">
        <v>1173</v>
      </c>
      <c r="D237" s="105"/>
    </row>
    <row r="238" spans="1:4" ht="23">
      <c r="A238" s="105">
        <v>237</v>
      </c>
      <c r="B238" s="105" t="s">
        <v>1174</v>
      </c>
      <c r="C238" s="105" t="s">
        <v>1175</v>
      </c>
      <c r="D238" s="105"/>
    </row>
    <row r="239" spans="1:4" ht="23">
      <c r="A239" s="105">
        <v>238</v>
      </c>
      <c r="B239" s="105" t="s">
        <v>1176</v>
      </c>
      <c r="C239" s="105" t="s">
        <v>1177</v>
      </c>
      <c r="D239" s="105"/>
    </row>
    <row r="240" spans="1:4" ht="23">
      <c r="A240" s="105">
        <v>239</v>
      </c>
      <c r="B240" s="108" t="s">
        <v>1178</v>
      </c>
      <c r="C240" s="107" t="s">
        <v>1179</v>
      </c>
      <c r="D240" s="105"/>
    </row>
    <row r="241" spans="1:4" ht="23">
      <c r="A241" s="105">
        <v>240</v>
      </c>
      <c r="B241" s="105" t="s">
        <v>1210</v>
      </c>
      <c r="C241" s="105" t="s">
        <v>1</v>
      </c>
      <c r="D241" s="105"/>
    </row>
    <row r="242" spans="1:4" ht="23">
      <c r="A242" s="105">
        <v>241</v>
      </c>
      <c r="B242" s="105" t="s">
        <v>1227</v>
      </c>
      <c r="C242" s="105" t="s">
        <v>1228</v>
      </c>
      <c r="D242" s="105"/>
    </row>
    <row r="243" spans="1:4" ht="115">
      <c r="A243" s="105">
        <v>242</v>
      </c>
      <c r="B243" s="105" t="s">
        <v>1250</v>
      </c>
      <c r="C243" s="105" t="s">
        <v>1251</v>
      </c>
      <c r="D243" s="105"/>
    </row>
    <row r="244" spans="1:4" ht="23">
      <c r="A244" s="105">
        <v>243</v>
      </c>
      <c r="B244" s="105" t="s">
        <v>1252</v>
      </c>
      <c r="C244" s="105" t="s">
        <v>1253</v>
      </c>
      <c r="D244" s="105"/>
    </row>
    <row r="245" spans="1:4" ht="69">
      <c r="A245" s="105">
        <v>244</v>
      </c>
      <c r="B245" s="105" t="s">
        <v>1254</v>
      </c>
      <c r="C245" s="105" t="s">
        <v>1255</v>
      </c>
      <c r="D245" s="105"/>
    </row>
    <row r="246" spans="1:4" ht="23">
      <c r="A246" s="105">
        <v>245</v>
      </c>
      <c r="B246" s="105" t="s">
        <v>1256</v>
      </c>
      <c r="C246" s="105" t="s">
        <v>1257</v>
      </c>
      <c r="D246" s="105"/>
    </row>
    <row r="247" spans="1:4" ht="23">
      <c r="A247" s="105">
        <v>246</v>
      </c>
      <c r="B247" s="105" t="s">
        <v>1258</v>
      </c>
      <c r="C247" s="105" t="s">
        <v>4050</v>
      </c>
      <c r="D247" s="105"/>
    </row>
    <row r="248" spans="1:4" ht="23">
      <c r="A248" s="105">
        <v>247</v>
      </c>
      <c r="B248" s="105" t="s">
        <v>1259</v>
      </c>
      <c r="C248" s="105" t="s">
        <v>4051</v>
      </c>
      <c r="D248" s="105"/>
    </row>
    <row r="249" spans="1:4" ht="69">
      <c r="A249" s="105">
        <v>248</v>
      </c>
      <c r="B249" s="105" t="s">
        <v>1260</v>
      </c>
      <c r="C249" s="105" t="s">
        <v>1261</v>
      </c>
      <c r="D249" s="105"/>
    </row>
    <row r="250" spans="1:4" ht="23">
      <c r="A250" s="105">
        <v>249</v>
      </c>
      <c r="B250" s="105" t="s">
        <v>1262</v>
      </c>
      <c r="C250" s="105" t="s">
        <v>1263</v>
      </c>
      <c r="D250" s="105"/>
    </row>
    <row r="251" spans="1:4" ht="35">
      <c r="A251" s="105">
        <v>250</v>
      </c>
      <c r="B251" s="105" t="s">
        <v>1264</v>
      </c>
      <c r="C251" s="105" t="s">
        <v>4052</v>
      </c>
      <c r="D251" s="105"/>
    </row>
    <row r="252" spans="1:4" ht="23">
      <c r="A252" s="105">
        <v>251</v>
      </c>
      <c r="B252" s="105" t="s">
        <v>1265</v>
      </c>
      <c r="C252" s="105" t="s">
        <v>4053</v>
      </c>
      <c r="D252" s="105"/>
    </row>
    <row r="253" spans="1:4" ht="23">
      <c r="A253" s="105">
        <v>252</v>
      </c>
      <c r="B253" s="105" t="s">
        <v>1266</v>
      </c>
      <c r="C253" s="105" t="s">
        <v>1267</v>
      </c>
      <c r="D253" s="105"/>
    </row>
    <row r="254" spans="1:4" ht="23">
      <c r="A254" s="105">
        <v>253</v>
      </c>
      <c r="B254" s="105" t="s">
        <v>1268</v>
      </c>
      <c r="C254" s="105" t="s">
        <v>1269</v>
      </c>
      <c r="D254" s="105"/>
    </row>
    <row r="255" spans="1:4" ht="23">
      <c r="A255" s="105">
        <v>254</v>
      </c>
      <c r="B255" s="105" t="s">
        <v>1270</v>
      </c>
      <c r="C255" s="105" t="s">
        <v>1271</v>
      </c>
      <c r="D255" s="105"/>
    </row>
    <row r="256" spans="1:4" ht="23">
      <c r="A256" s="105">
        <v>255</v>
      </c>
      <c r="B256" s="105" t="s">
        <v>1272</v>
      </c>
      <c r="C256" s="105" t="s">
        <v>1273</v>
      </c>
      <c r="D256" s="105"/>
    </row>
    <row r="257" spans="1:4" ht="23">
      <c r="A257" s="105">
        <v>256</v>
      </c>
      <c r="B257" s="105" t="s">
        <v>1274</v>
      </c>
      <c r="C257" s="105" t="s">
        <v>1275</v>
      </c>
      <c r="D257" s="105"/>
    </row>
    <row r="258" spans="1:4" ht="23">
      <c r="A258" s="105">
        <v>257</v>
      </c>
      <c r="B258" s="105" t="s">
        <v>1276</v>
      </c>
      <c r="C258" s="105" t="s">
        <v>1277</v>
      </c>
      <c r="D258" s="105"/>
    </row>
    <row r="259" spans="1:4" ht="23">
      <c r="A259" s="105">
        <v>258</v>
      </c>
      <c r="B259" s="105" t="s">
        <v>1278</v>
      </c>
      <c r="C259" s="105" t="s">
        <v>1279</v>
      </c>
      <c r="D259" s="105"/>
    </row>
    <row r="260" spans="1:4" ht="23">
      <c r="A260" s="105">
        <v>259</v>
      </c>
      <c r="B260" s="105" t="s">
        <v>1280</v>
      </c>
      <c r="C260" s="105" t="s">
        <v>1281</v>
      </c>
      <c r="D260" s="105"/>
    </row>
    <row r="261" spans="1:4" ht="46">
      <c r="A261" s="105">
        <v>260</v>
      </c>
      <c r="B261" s="105" t="s">
        <v>1282</v>
      </c>
      <c r="C261" s="105" t="s">
        <v>1283</v>
      </c>
      <c r="D261" s="105"/>
    </row>
    <row r="262" spans="1:4" ht="23">
      <c r="A262" s="105">
        <v>261</v>
      </c>
      <c r="B262" s="105" t="s">
        <v>1284</v>
      </c>
      <c r="C262" s="105" t="s">
        <v>1285</v>
      </c>
      <c r="D262" s="105"/>
    </row>
    <row r="263" spans="1:4" ht="23">
      <c r="A263" s="105">
        <v>262</v>
      </c>
      <c r="B263" s="105" t="s">
        <v>1286</v>
      </c>
      <c r="C263" s="105" t="s">
        <v>1287</v>
      </c>
      <c r="D263" s="105"/>
    </row>
    <row r="264" spans="1:4" ht="23">
      <c r="A264" s="105">
        <v>263</v>
      </c>
      <c r="B264" s="105" t="s">
        <v>1311</v>
      </c>
      <c r="C264" s="105" t="s">
        <v>1312</v>
      </c>
      <c r="D264" s="105"/>
    </row>
    <row r="265" spans="1:4" ht="23">
      <c r="A265" s="105">
        <v>264</v>
      </c>
      <c r="B265" s="105" t="s">
        <v>1313</v>
      </c>
      <c r="C265" s="105" t="s">
        <v>1314</v>
      </c>
      <c r="D265" s="105"/>
    </row>
    <row r="266" spans="1:4" ht="23">
      <c r="A266" s="105">
        <v>265</v>
      </c>
      <c r="B266" s="105" t="s">
        <v>1340</v>
      </c>
      <c r="C266" s="105" t="s">
        <v>1341</v>
      </c>
      <c r="D266" s="105"/>
    </row>
    <row r="267" spans="1:4" ht="23">
      <c r="A267" s="105">
        <v>266</v>
      </c>
      <c r="B267" s="105" t="s">
        <v>1342</v>
      </c>
      <c r="C267" s="105" t="s">
        <v>1343</v>
      </c>
      <c r="D267" s="105"/>
    </row>
    <row r="268" spans="1:4" ht="23">
      <c r="A268" s="105">
        <v>267</v>
      </c>
      <c r="B268" s="105" t="s">
        <v>1366</v>
      </c>
      <c r="C268" s="105" t="s">
        <v>1367</v>
      </c>
      <c r="D268" s="105"/>
    </row>
    <row r="269" spans="1:4" ht="23">
      <c r="A269" s="105">
        <v>268</v>
      </c>
      <c r="B269" s="105" t="s">
        <v>1368</v>
      </c>
      <c r="C269" s="105" t="s">
        <v>1369</v>
      </c>
      <c r="D269" s="105"/>
    </row>
    <row r="270" spans="1:4" ht="23">
      <c r="A270" s="105">
        <v>269</v>
      </c>
      <c r="B270" s="105" t="s">
        <v>1370</v>
      </c>
      <c r="C270" s="105" t="s">
        <v>1371</v>
      </c>
      <c r="D270" s="105"/>
    </row>
    <row r="271" spans="1:4" ht="23">
      <c r="A271" s="105">
        <v>270</v>
      </c>
      <c r="B271" s="105" t="s">
        <v>1372</v>
      </c>
      <c r="C271" s="105" t="s">
        <v>1373</v>
      </c>
      <c r="D271" s="105"/>
    </row>
    <row r="272" spans="1:4" ht="23">
      <c r="A272" s="105">
        <v>271</v>
      </c>
      <c r="B272" s="105" t="s">
        <v>1374</v>
      </c>
      <c r="C272" s="105" t="s">
        <v>1375</v>
      </c>
      <c r="D272" s="105"/>
    </row>
    <row r="273" spans="1:4" ht="46">
      <c r="A273" s="105">
        <v>272</v>
      </c>
      <c r="B273" s="105" t="s">
        <v>1376</v>
      </c>
      <c r="C273" s="105" t="s">
        <v>1377</v>
      </c>
      <c r="D273" s="105"/>
    </row>
    <row r="274" spans="1:4" ht="23">
      <c r="A274" s="105">
        <v>273</v>
      </c>
      <c r="B274" s="105" t="s">
        <v>1378</v>
      </c>
      <c r="C274" s="105" t="s">
        <v>1379</v>
      </c>
      <c r="D274" s="105"/>
    </row>
    <row r="275" spans="1:4" ht="23">
      <c r="A275" s="105">
        <v>274</v>
      </c>
      <c r="B275" s="105" t="s">
        <v>1380</v>
      </c>
      <c r="C275" s="105" t="s">
        <v>1381</v>
      </c>
      <c r="D275" s="105"/>
    </row>
    <row r="276" spans="1:4" ht="23">
      <c r="A276" s="105">
        <v>275</v>
      </c>
      <c r="B276" s="105" t="s">
        <v>1382</v>
      </c>
      <c r="C276" s="105" t="s">
        <v>1383</v>
      </c>
      <c r="D276" s="105"/>
    </row>
    <row r="277" spans="1:4" ht="23">
      <c r="A277" s="105">
        <v>276</v>
      </c>
      <c r="B277" s="105" t="s">
        <v>1384</v>
      </c>
      <c r="C277" s="105" t="s">
        <v>1385</v>
      </c>
      <c r="D277" s="105"/>
    </row>
    <row r="278" spans="1:4" ht="23">
      <c r="A278" s="105">
        <v>277</v>
      </c>
      <c r="B278" s="105" t="s">
        <v>1386</v>
      </c>
      <c r="C278" s="105" t="s">
        <v>1387</v>
      </c>
      <c r="D278" s="105"/>
    </row>
    <row r="279" spans="1:4" ht="46">
      <c r="A279" s="105">
        <v>278</v>
      </c>
      <c r="B279" s="105" t="s">
        <v>1388</v>
      </c>
      <c r="C279" s="105" t="s">
        <v>1389</v>
      </c>
      <c r="D279" s="105"/>
    </row>
    <row r="280" spans="1:4" ht="46">
      <c r="A280" s="105">
        <v>279</v>
      </c>
      <c r="B280" s="105" t="s">
        <v>1390</v>
      </c>
      <c r="C280" s="105" t="s">
        <v>1391</v>
      </c>
      <c r="D280" s="105"/>
    </row>
    <row r="281" spans="1:4" ht="23">
      <c r="A281" s="105">
        <v>280</v>
      </c>
      <c r="B281" s="105" t="s">
        <v>1392</v>
      </c>
      <c r="C281" s="105" t="s">
        <v>1393</v>
      </c>
      <c r="D281" s="105"/>
    </row>
    <row r="282" spans="1:4" ht="23">
      <c r="A282" s="105">
        <v>281</v>
      </c>
      <c r="B282" s="105" t="s">
        <v>1394</v>
      </c>
      <c r="C282" s="105" t="s">
        <v>1395</v>
      </c>
      <c r="D282" s="105"/>
    </row>
    <row r="283" spans="1:4" ht="46">
      <c r="A283" s="105">
        <v>282</v>
      </c>
      <c r="B283" s="105" t="s">
        <v>1396</v>
      </c>
      <c r="C283" s="105" t="s">
        <v>1397</v>
      </c>
      <c r="D283" s="105"/>
    </row>
    <row r="284" spans="1:4" ht="23">
      <c r="A284" s="105">
        <v>283</v>
      </c>
      <c r="B284" s="105" t="s">
        <v>1398</v>
      </c>
      <c r="C284" s="105" t="s">
        <v>1399</v>
      </c>
      <c r="D284" s="105"/>
    </row>
    <row r="285" spans="1:4" ht="23">
      <c r="A285" s="105">
        <v>284</v>
      </c>
      <c r="B285" s="105" t="s">
        <v>1400</v>
      </c>
      <c r="C285" s="105" t="s">
        <v>1401</v>
      </c>
      <c r="D285" s="105"/>
    </row>
    <row r="286" spans="1:4" ht="23">
      <c r="A286" s="105">
        <v>285</v>
      </c>
      <c r="B286" s="105" t="s">
        <v>1402</v>
      </c>
      <c r="C286" s="105" t="s">
        <v>1403</v>
      </c>
      <c r="D286" s="105"/>
    </row>
    <row r="287" spans="1:4" ht="23">
      <c r="A287" s="105">
        <v>286</v>
      </c>
      <c r="B287" s="105" t="s">
        <v>1404</v>
      </c>
      <c r="C287" s="105" t="s">
        <v>1405</v>
      </c>
      <c r="D287" s="105"/>
    </row>
    <row r="288" spans="1:4" ht="69">
      <c r="A288" s="105">
        <v>287</v>
      </c>
      <c r="B288" s="105" t="s">
        <v>1406</v>
      </c>
      <c r="C288" s="105" t="s">
        <v>1407</v>
      </c>
      <c r="D288" s="105"/>
    </row>
    <row r="289" spans="1:4" ht="23">
      <c r="A289" s="105">
        <v>288</v>
      </c>
      <c r="B289" s="105" t="s">
        <v>1408</v>
      </c>
      <c r="C289" s="105" t="s">
        <v>1409</v>
      </c>
      <c r="D289" s="105"/>
    </row>
    <row r="290" spans="1:4" ht="23">
      <c r="A290" s="105">
        <v>289</v>
      </c>
      <c r="B290" s="105" t="s">
        <v>1410</v>
      </c>
      <c r="C290" s="105" t="s">
        <v>1411</v>
      </c>
      <c r="D290" s="105"/>
    </row>
    <row r="291" spans="1:4" ht="23">
      <c r="A291" s="105">
        <v>290</v>
      </c>
      <c r="B291" s="105" t="s">
        <v>1412</v>
      </c>
      <c r="C291" s="105" t="s">
        <v>1413</v>
      </c>
      <c r="D291" s="105"/>
    </row>
    <row r="292" spans="1:4" ht="23">
      <c r="A292" s="105">
        <v>291</v>
      </c>
      <c r="B292" s="105" t="s">
        <v>545</v>
      </c>
      <c r="C292" s="105" t="s">
        <v>1414</v>
      </c>
      <c r="D292" s="105"/>
    </row>
    <row r="293" spans="1:4" ht="23">
      <c r="A293" s="105">
        <v>292</v>
      </c>
      <c r="B293" s="105" t="s">
        <v>1415</v>
      </c>
      <c r="C293" s="105" t="s">
        <v>1416</v>
      </c>
      <c r="D293" s="105"/>
    </row>
    <row r="294" spans="1:4" ht="23">
      <c r="A294" s="105">
        <v>293</v>
      </c>
      <c r="B294" s="105" t="s">
        <v>1417</v>
      </c>
      <c r="C294" s="105" t="s">
        <v>1418</v>
      </c>
      <c r="D294" s="105"/>
    </row>
    <row r="295" spans="1:4" ht="23">
      <c r="A295" s="105">
        <v>294</v>
      </c>
      <c r="B295" s="105" t="s">
        <v>1419</v>
      </c>
      <c r="C295" s="105" t="s">
        <v>1420</v>
      </c>
      <c r="D295" s="105"/>
    </row>
    <row r="296" spans="1:4" ht="23">
      <c r="A296" s="105">
        <v>295</v>
      </c>
      <c r="B296" s="105" t="s">
        <v>1421</v>
      </c>
      <c r="C296" s="105" t="s">
        <v>1422</v>
      </c>
      <c r="D296" s="105"/>
    </row>
    <row r="297" spans="1:4" ht="23">
      <c r="A297" s="105">
        <v>296</v>
      </c>
      <c r="B297" s="105" t="s">
        <v>1423</v>
      </c>
      <c r="C297" s="105" t="s">
        <v>1424</v>
      </c>
      <c r="D297" s="105"/>
    </row>
    <row r="298" spans="1:4" ht="23">
      <c r="A298" s="105">
        <v>297</v>
      </c>
      <c r="B298" s="105" t="s">
        <v>1425</v>
      </c>
      <c r="C298" s="105" t="s">
        <v>1426</v>
      </c>
      <c r="D298" s="105"/>
    </row>
    <row r="299" spans="1:4" ht="23">
      <c r="A299" s="105">
        <v>298</v>
      </c>
      <c r="B299" s="105" t="s">
        <v>1427</v>
      </c>
      <c r="C299" s="105" t="s">
        <v>1428</v>
      </c>
      <c r="D299" s="105"/>
    </row>
    <row r="300" spans="1:4" ht="23">
      <c r="A300" s="105">
        <v>299</v>
      </c>
      <c r="B300" s="105" t="s">
        <v>1429</v>
      </c>
      <c r="C300" s="105" t="s">
        <v>1430</v>
      </c>
      <c r="D300" s="105"/>
    </row>
    <row r="301" spans="1:4" ht="23">
      <c r="A301" s="105">
        <v>300</v>
      </c>
      <c r="B301" s="105" t="s">
        <v>1431</v>
      </c>
      <c r="C301" s="105" t="s">
        <v>1432</v>
      </c>
      <c r="D301" s="105"/>
    </row>
    <row r="302" spans="1:4" ht="23">
      <c r="A302" s="105">
        <v>301</v>
      </c>
      <c r="B302" s="105" t="s">
        <v>1435</v>
      </c>
      <c r="C302" s="105" t="s">
        <v>1436</v>
      </c>
      <c r="D302" s="105"/>
    </row>
    <row r="303" spans="1:4" ht="23">
      <c r="A303" s="105">
        <v>302</v>
      </c>
      <c r="B303" s="105" t="s">
        <v>1437</v>
      </c>
      <c r="C303" s="105" t="s">
        <v>1438</v>
      </c>
      <c r="D303" s="105"/>
    </row>
    <row r="304" spans="1:4" ht="23">
      <c r="A304" s="105">
        <v>303</v>
      </c>
      <c r="B304" s="105" t="s">
        <v>1439</v>
      </c>
      <c r="C304" s="105" t="s">
        <v>1440</v>
      </c>
      <c r="D304" s="105"/>
    </row>
    <row r="305" spans="1:4" ht="23">
      <c r="A305" s="105">
        <v>304</v>
      </c>
      <c r="B305" s="105" t="s">
        <v>1441</v>
      </c>
      <c r="C305" s="105" t="s">
        <v>1442</v>
      </c>
      <c r="D305" s="105"/>
    </row>
    <row r="306" spans="1:4" ht="23">
      <c r="A306" s="105">
        <v>305</v>
      </c>
      <c r="B306" s="105" t="s">
        <v>1443</v>
      </c>
      <c r="C306" s="105" t="s">
        <v>1444</v>
      </c>
      <c r="D306" s="105"/>
    </row>
    <row r="307" spans="1:4" ht="23">
      <c r="A307" s="105">
        <v>306</v>
      </c>
      <c r="B307" s="105" t="s">
        <v>1445</v>
      </c>
      <c r="C307" s="105" t="s">
        <v>1446</v>
      </c>
      <c r="D307" s="105"/>
    </row>
    <row r="308" spans="1:4" ht="23">
      <c r="A308" s="105">
        <v>307</v>
      </c>
      <c r="B308" s="105" t="s">
        <v>1447</v>
      </c>
      <c r="C308" s="105" t="s">
        <v>4056</v>
      </c>
      <c r="D308" s="105"/>
    </row>
    <row r="309" spans="1:4" ht="23">
      <c r="A309" s="105">
        <v>308</v>
      </c>
      <c r="B309" s="105" t="s">
        <v>1450</v>
      </c>
      <c r="C309" s="105" t="s">
        <v>1451</v>
      </c>
      <c r="D309" s="105"/>
    </row>
    <row r="310" spans="1:4" ht="23">
      <c r="A310" s="105">
        <v>309</v>
      </c>
      <c r="B310" s="105" t="s">
        <v>1452</v>
      </c>
      <c r="C310" s="105" t="s">
        <v>1453</v>
      </c>
      <c r="D310" s="105"/>
    </row>
    <row r="311" spans="1:4" ht="23">
      <c r="A311" s="105">
        <v>310</v>
      </c>
      <c r="B311" s="105" t="s">
        <v>1454</v>
      </c>
      <c r="C311" s="105" t="s">
        <v>1455</v>
      </c>
      <c r="D311" s="105"/>
    </row>
    <row r="312" spans="1:4" ht="23">
      <c r="A312" s="105">
        <v>311</v>
      </c>
      <c r="B312" s="105" t="s">
        <v>1456</v>
      </c>
      <c r="C312" s="105" t="s">
        <v>1457</v>
      </c>
      <c r="D312" s="105"/>
    </row>
    <row r="313" spans="1:4" ht="69">
      <c r="A313" s="105">
        <v>312</v>
      </c>
      <c r="B313" s="105" t="s">
        <v>1458</v>
      </c>
      <c r="C313" s="105" t="s">
        <v>1459</v>
      </c>
      <c r="D313" s="105"/>
    </row>
    <row r="314" spans="1:4" ht="23">
      <c r="A314" s="105">
        <v>313</v>
      </c>
      <c r="B314" s="105" t="s">
        <v>1460</v>
      </c>
      <c r="C314" s="105" t="s">
        <v>1461</v>
      </c>
      <c r="D314" s="105"/>
    </row>
    <row r="315" spans="1:4" ht="23">
      <c r="A315" s="105">
        <v>314</v>
      </c>
      <c r="B315" s="105" t="s">
        <v>1462</v>
      </c>
      <c r="C315" s="105" t="s">
        <v>1463</v>
      </c>
      <c r="D315" s="105"/>
    </row>
    <row r="316" spans="1:4" ht="70">
      <c r="A316" s="105">
        <v>315</v>
      </c>
      <c r="B316" s="105" t="s">
        <v>1464</v>
      </c>
      <c r="C316" s="105" t="s">
        <v>4057</v>
      </c>
      <c r="D316" s="105"/>
    </row>
    <row r="317" spans="1:4" ht="23">
      <c r="A317" s="105">
        <v>316</v>
      </c>
      <c r="B317" s="105" t="s">
        <v>1465</v>
      </c>
      <c r="C317" s="105" t="s">
        <v>1466</v>
      </c>
      <c r="D317" s="105"/>
    </row>
    <row r="318" spans="1:4" ht="23">
      <c r="A318" s="105">
        <v>317</v>
      </c>
      <c r="B318" s="105" t="s">
        <v>1467</v>
      </c>
      <c r="C318" s="105" t="s">
        <v>1468</v>
      </c>
      <c r="D318" s="105"/>
    </row>
    <row r="319" spans="1:4" ht="23">
      <c r="A319" s="105">
        <v>318</v>
      </c>
      <c r="B319" s="105" t="s">
        <v>1469</v>
      </c>
      <c r="C319" s="105" t="s">
        <v>1470</v>
      </c>
      <c r="D319" s="105"/>
    </row>
    <row r="320" spans="1:4" ht="23">
      <c r="A320" s="105">
        <v>319</v>
      </c>
      <c r="B320" s="105" t="s">
        <v>1471</v>
      </c>
      <c r="C320" s="105" t="s">
        <v>1472</v>
      </c>
      <c r="D320" s="105"/>
    </row>
    <row r="321" spans="1:4" ht="23">
      <c r="A321" s="105">
        <v>320</v>
      </c>
      <c r="B321" s="105" t="s">
        <v>1473</v>
      </c>
      <c r="C321" s="105" t="s">
        <v>1474</v>
      </c>
      <c r="D321" s="105"/>
    </row>
    <row r="322" spans="1:4" ht="46">
      <c r="A322" s="105">
        <v>321</v>
      </c>
      <c r="B322" s="105" t="s">
        <v>1475</v>
      </c>
      <c r="C322" s="105" t="s">
        <v>1476</v>
      </c>
      <c r="D322" s="105"/>
    </row>
    <row r="323" spans="1:4" ht="23">
      <c r="A323" s="105">
        <v>322</v>
      </c>
      <c r="B323" s="105" t="s">
        <v>1477</v>
      </c>
      <c r="C323" s="105" t="s">
        <v>1478</v>
      </c>
      <c r="D323" s="105"/>
    </row>
    <row r="324" spans="1:4" ht="23">
      <c r="A324" s="105">
        <v>323</v>
      </c>
      <c r="B324" s="105" t="s">
        <v>1479</v>
      </c>
      <c r="C324" s="105" t="s">
        <v>1478</v>
      </c>
      <c r="D324" s="105"/>
    </row>
    <row r="325" spans="1:4" ht="23">
      <c r="A325" s="105">
        <v>324</v>
      </c>
      <c r="B325" s="105" t="s">
        <v>1480</v>
      </c>
      <c r="C325" s="105" t="s">
        <v>1481</v>
      </c>
      <c r="D325" s="105"/>
    </row>
    <row r="326" spans="1:4" ht="23">
      <c r="A326" s="105">
        <v>325</v>
      </c>
      <c r="B326" s="105" t="s">
        <v>1482</v>
      </c>
      <c r="C326" s="105" t="s">
        <v>1483</v>
      </c>
      <c r="D326" s="105"/>
    </row>
    <row r="327" spans="1:4" ht="23">
      <c r="A327" s="105">
        <v>326</v>
      </c>
      <c r="B327" s="105" t="s">
        <v>1484</v>
      </c>
      <c r="C327" s="105" t="s">
        <v>1485</v>
      </c>
      <c r="D327" s="105"/>
    </row>
    <row r="328" spans="1:4" ht="23">
      <c r="A328" s="105">
        <v>327</v>
      </c>
      <c r="B328" s="105" t="s">
        <v>1486</v>
      </c>
      <c r="C328" s="105" t="s">
        <v>1487</v>
      </c>
      <c r="D328" s="105"/>
    </row>
    <row r="329" spans="1:4" ht="23">
      <c r="A329" s="105">
        <v>328</v>
      </c>
      <c r="B329" s="105" t="s">
        <v>1488</v>
      </c>
      <c r="C329" s="105" t="s">
        <v>1489</v>
      </c>
      <c r="D329" s="105"/>
    </row>
    <row r="330" spans="1:4" ht="23">
      <c r="A330" s="105">
        <v>329</v>
      </c>
      <c r="B330" s="105" t="s">
        <v>1490</v>
      </c>
      <c r="C330" s="105" t="s">
        <v>1491</v>
      </c>
      <c r="D330" s="105"/>
    </row>
    <row r="331" spans="1:4" ht="23">
      <c r="A331" s="105">
        <v>330</v>
      </c>
      <c r="B331" s="105" t="s">
        <v>1492</v>
      </c>
      <c r="C331" s="105" t="s">
        <v>1493</v>
      </c>
      <c r="D331" s="105"/>
    </row>
    <row r="332" spans="1:4" ht="23">
      <c r="A332" s="105">
        <v>331</v>
      </c>
      <c r="B332" s="105" t="s">
        <v>1344</v>
      </c>
      <c r="C332" s="105" t="s">
        <v>1345</v>
      </c>
      <c r="D332" s="105"/>
    </row>
    <row r="333" spans="1:4" ht="23">
      <c r="A333" s="105">
        <v>332</v>
      </c>
      <c r="B333" s="105" t="s">
        <v>1348</v>
      </c>
      <c r="C333" s="105" t="s">
        <v>1349</v>
      </c>
      <c r="D333" s="105"/>
    </row>
    <row r="334" spans="1:4" ht="46">
      <c r="A334" s="105">
        <v>333</v>
      </c>
      <c r="B334" s="105" t="s">
        <v>1494</v>
      </c>
      <c r="C334" s="105" t="s">
        <v>1495</v>
      </c>
      <c r="D334" s="105"/>
    </row>
    <row r="335" spans="1:4" ht="23">
      <c r="A335" s="105">
        <v>334</v>
      </c>
      <c r="B335" s="105" t="s">
        <v>1496</v>
      </c>
      <c r="C335" s="105" t="s">
        <v>1497</v>
      </c>
      <c r="D335" s="105"/>
    </row>
    <row r="336" spans="1:4" ht="23">
      <c r="A336" s="105">
        <v>335</v>
      </c>
      <c r="B336" s="105" t="s">
        <v>1498</v>
      </c>
      <c r="C336" s="105" t="s">
        <v>1499</v>
      </c>
      <c r="D336" s="105"/>
    </row>
    <row r="337" spans="1:4" ht="46">
      <c r="A337" s="105">
        <v>336</v>
      </c>
      <c r="B337" s="105" t="s">
        <v>1500</v>
      </c>
      <c r="C337" s="105" t="s">
        <v>1501</v>
      </c>
      <c r="D337" s="105"/>
    </row>
    <row r="338" spans="1:4" ht="46">
      <c r="A338" s="105">
        <v>337</v>
      </c>
      <c r="B338" s="105" t="s">
        <v>1502</v>
      </c>
      <c r="C338" s="105" t="s">
        <v>1503</v>
      </c>
      <c r="D338" s="105"/>
    </row>
    <row r="339" spans="1:4" ht="23">
      <c r="A339" s="105">
        <v>338</v>
      </c>
      <c r="B339" s="105" t="s">
        <v>1504</v>
      </c>
      <c r="C339" s="105" t="s">
        <v>1505</v>
      </c>
      <c r="D339" s="105"/>
    </row>
    <row r="340" spans="1:4" ht="23">
      <c r="A340" s="105">
        <v>339</v>
      </c>
      <c r="B340" s="105" t="s">
        <v>1506</v>
      </c>
      <c r="C340" s="105" t="s">
        <v>1507</v>
      </c>
      <c r="D340" s="105"/>
    </row>
    <row r="341" spans="1:4" ht="23">
      <c r="A341" s="105">
        <v>340</v>
      </c>
      <c r="B341" s="105" t="s">
        <v>1508</v>
      </c>
      <c r="C341" s="105" t="s">
        <v>1509</v>
      </c>
      <c r="D341" s="105"/>
    </row>
    <row r="342" spans="1:4" ht="23">
      <c r="A342" s="105">
        <v>341</v>
      </c>
      <c r="B342" s="105" t="s">
        <v>1510</v>
      </c>
      <c r="C342" s="105" t="s">
        <v>1511</v>
      </c>
      <c r="D342" s="105"/>
    </row>
    <row r="343" spans="1:4" ht="23">
      <c r="A343" s="105">
        <v>342</v>
      </c>
      <c r="B343" s="105" t="s">
        <v>1512</v>
      </c>
      <c r="C343" s="105" t="s">
        <v>1513</v>
      </c>
      <c r="D343" s="105"/>
    </row>
    <row r="344" spans="1:4" ht="23">
      <c r="A344" s="105">
        <v>343</v>
      </c>
      <c r="B344" s="105" t="s">
        <v>1514</v>
      </c>
      <c r="C344" s="105" t="s">
        <v>1515</v>
      </c>
      <c r="D344" s="105"/>
    </row>
    <row r="345" spans="1:4" ht="69">
      <c r="A345" s="105">
        <v>344</v>
      </c>
      <c r="B345" s="105" t="s">
        <v>1516</v>
      </c>
      <c r="C345" s="105" t="s">
        <v>1517</v>
      </c>
      <c r="D345" s="105"/>
    </row>
    <row r="346" spans="1:4" ht="23">
      <c r="A346" s="105">
        <v>345</v>
      </c>
      <c r="B346" s="105" t="s">
        <v>1631</v>
      </c>
      <c r="C346" s="105" t="s">
        <v>1632</v>
      </c>
      <c r="D346" s="105"/>
    </row>
    <row r="347" spans="1:4" ht="23">
      <c r="A347" s="105">
        <v>346</v>
      </c>
      <c r="B347" s="105" t="s">
        <v>1633</v>
      </c>
      <c r="C347" s="105" t="s">
        <v>1634</v>
      </c>
      <c r="D347" s="105"/>
    </row>
    <row r="348" spans="1:4" ht="23">
      <c r="A348" s="105">
        <v>347</v>
      </c>
      <c r="B348" s="105" t="s">
        <v>1635</v>
      </c>
      <c r="C348" s="105" t="s">
        <v>1636</v>
      </c>
      <c r="D348" s="105"/>
    </row>
    <row r="349" spans="1:4" ht="23">
      <c r="A349" s="105">
        <v>348</v>
      </c>
      <c r="B349" s="105" t="s">
        <v>1637</v>
      </c>
      <c r="C349" s="105" t="s">
        <v>1638</v>
      </c>
      <c r="D349" s="105"/>
    </row>
    <row r="350" spans="1:4" ht="23">
      <c r="A350" s="105">
        <v>349</v>
      </c>
      <c r="B350" s="105" t="s">
        <v>1639</v>
      </c>
      <c r="C350" s="105" t="s">
        <v>1640</v>
      </c>
      <c r="D350" s="105"/>
    </row>
    <row r="351" spans="1:4" ht="23">
      <c r="A351" s="105">
        <v>350</v>
      </c>
      <c r="B351" s="105" t="s">
        <v>1641</v>
      </c>
      <c r="C351" s="105" t="s">
        <v>1642</v>
      </c>
      <c r="D351" s="105"/>
    </row>
    <row r="352" spans="1:4" ht="23">
      <c r="A352" s="105">
        <v>351</v>
      </c>
      <c r="B352" s="105" t="s">
        <v>1643</v>
      </c>
      <c r="C352" s="105" t="s">
        <v>1644</v>
      </c>
      <c r="D352" s="105"/>
    </row>
    <row r="353" spans="1:4" ht="23">
      <c r="A353" s="105">
        <v>352</v>
      </c>
      <c r="B353" s="105" t="s">
        <v>1645</v>
      </c>
      <c r="C353" s="105" t="s">
        <v>1646</v>
      </c>
      <c r="D353" s="105"/>
    </row>
    <row r="354" spans="1:4" ht="23">
      <c r="A354" s="105">
        <v>353</v>
      </c>
      <c r="B354" s="105" t="s">
        <v>1647</v>
      </c>
      <c r="C354" s="105" t="s">
        <v>1648</v>
      </c>
      <c r="D354" s="105"/>
    </row>
    <row r="355" spans="1:4" ht="23">
      <c r="A355" s="105">
        <v>354</v>
      </c>
      <c r="B355" s="105" t="s">
        <v>1649</v>
      </c>
      <c r="C355" s="105" t="s">
        <v>1650</v>
      </c>
      <c r="D355" s="105"/>
    </row>
    <row r="356" spans="1:4" ht="23">
      <c r="A356" s="105">
        <v>355</v>
      </c>
      <c r="B356" s="105" t="s">
        <v>1651</v>
      </c>
      <c r="C356" s="105" t="s">
        <v>1652</v>
      </c>
      <c r="D356" s="105"/>
    </row>
    <row r="357" spans="1:4" ht="46">
      <c r="A357" s="105">
        <v>356</v>
      </c>
      <c r="B357" s="105" t="s">
        <v>1653</v>
      </c>
      <c r="C357" s="105" t="s">
        <v>1654</v>
      </c>
      <c r="D357" s="105"/>
    </row>
    <row r="358" spans="1:4" ht="23">
      <c r="A358" s="105">
        <v>357</v>
      </c>
      <c r="B358" s="105" t="s">
        <v>1655</v>
      </c>
      <c r="C358" s="105" t="s">
        <v>1656</v>
      </c>
      <c r="D358" s="105"/>
    </row>
    <row r="359" spans="1:4" ht="23">
      <c r="A359" s="105">
        <v>358</v>
      </c>
      <c r="B359" s="105" t="s">
        <v>1657</v>
      </c>
      <c r="C359" s="105" t="s">
        <v>1658</v>
      </c>
      <c r="D359" s="105"/>
    </row>
    <row r="360" spans="1:4" ht="23">
      <c r="A360" s="105">
        <v>359</v>
      </c>
      <c r="B360" s="105" t="s">
        <v>1659</v>
      </c>
      <c r="C360" s="105" t="s">
        <v>1660</v>
      </c>
      <c r="D360" s="105"/>
    </row>
    <row r="361" spans="1:4" ht="23">
      <c r="A361" s="105">
        <v>360</v>
      </c>
      <c r="B361" s="105" t="s">
        <v>1661</v>
      </c>
      <c r="C361" s="105" t="s">
        <v>1662</v>
      </c>
      <c r="D361" s="105"/>
    </row>
    <row r="362" spans="1:4" ht="23">
      <c r="A362" s="105">
        <v>361</v>
      </c>
      <c r="B362" s="105" t="s">
        <v>1663</v>
      </c>
      <c r="C362" s="105" t="s">
        <v>1664</v>
      </c>
      <c r="D362" s="105"/>
    </row>
    <row r="363" spans="1:4" ht="23">
      <c r="A363" s="105">
        <v>362</v>
      </c>
      <c r="B363" s="105" t="s">
        <v>1665</v>
      </c>
      <c r="C363" s="105" t="s">
        <v>1666</v>
      </c>
      <c r="D363" s="105"/>
    </row>
    <row r="364" spans="1:4" ht="23">
      <c r="A364" s="105">
        <v>363</v>
      </c>
      <c r="B364" s="105" t="s">
        <v>1667</v>
      </c>
      <c r="C364" s="105" t="s">
        <v>1668</v>
      </c>
      <c r="D364" s="105"/>
    </row>
    <row r="365" spans="1:4" ht="23">
      <c r="A365" s="105">
        <v>364</v>
      </c>
      <c r="B365" s="105" t="s">
        <v>1669</v>
      </c>
      <c r="C365" s="105" t="s">
        <v>1670</v>
      </c>
      <c r="D365" s="105"/>
    </row>
    <row r="366" spans="1:4" ht="23">
      <c r="A366" s="105">
        <v>365</v>
      </c>
      <c r="B366" s="105" t="s">
        <v>1671</v>
      </c>
      <c r="C366" s="105" t="s">
        <v>1672</v>
      </c>
      <c r="D366" s="105"/>
    </row>
    <row r="367" spans="1:4" ht="23">
      <c r="A367" s="105">
        <v>366</v>
      </c>
      <c r="B367" s="105" t="s">
        <v>1673</v>
      </c>
      <c r="C367" s="105" t="s">
        <v>1674</v>
      </c>
      <c r="D367" s="105"/>
    </row>
    <row r="368" spans="1:4" ht="23">
      <c r="A368" s="105">
        <v>367</v>
      </c>
      <c r="B368" s="105" t="s">
        <v>1675</v>
      </c>
      <c r="C368" s="105" t="s">
        <v>1676</v>
      </c>
      <c r="D368" s="105"/>
    </row>
    <row r="369" spans="1:4" ht="23">
      <c r="A369" s="105">
        <v>368</v>
      </c>
      <c r="B369" s="105" t="s">
        <v>1677</v>
      </c>
      <c r="C369" s="105" t="s">
        <v>1678</v>
      </c>
      <c r="D369" s="105"/>
    </row>
    <row r="370" spans="1:4" ht="23">
      <c r="A370" s="105">
        <v>369</v>
      </c>
      <c r="B370" s="105" t="s">
        <v>1679</v>
      </c>
      <c r="C370" s="105" t="s">
        <v>1680</v>
      </c>
      <c r="D370" s="105"/>
    </row>
    <row r="371" spans="1:4" ht="23">
      <c r="A371" s="105">
        <v>370</v>
      </c>
      <c r="B371" s="105" t="s">
        <v>1681</v>
      </c>
      <c r="C371" s="105" t="s">
        <v>1682</v>
      </c>
      <c r="D371" s="105"/>
    </row>
    <row r="372" spans="1:4" ht="23">
      <c r="A372" s="105">
        <v>371</v>
      </c>
      <c r="B372" s="105" t="s">
        <v>1683</v>
      </c>
      <c r="C372" s="105" t="s">
        <v>1684</v>
      </c>
      <c r="D372" s="105"/>
    </row>
    <row r="373" spans="1:4" ht="23">
      <c r="A373" s="105">
        <v>372</v>
      </c>
      <c r="B373" s="105" t="s">
        <v>1685</v>
      </c>
      <c r="C373" s="105" t="s">
        <v>1686</v>
      </c>
      <c r="D373" s="105"/>
    </row>
    <row r="374" spans="1:4" ht="23">
      <c r="A374" s="105">
        <v>373</v>
      </c>
      <c r="B374" s="105" t="s">
        <v>1687</v>
      </c>
      <c r="C374" s="105" t="s">
        <v>1688</v>
      </c>
      <c r="D374" s="105"/>
    </row>
    <row r="375" spans="1:4" ht="23">
      <c r="A375" s="105">
        <v>374</v>
      </c>
      <c r="B375" s="105" t="s">
        <v>1693</v>
      </c>
      <c r="C375" s="105" t="s">
        <v>1694</v>
      </c>
      <c r="D375" s="105"/>
    </row>
    <row r="376" spans="1:4" ht="23">
      <c r="A376" s="105">
        <v>375</v>
      </c>
      <c r="B376" s="105" t="s">
        <v>1695</v>
      </c>
      <c r="C376" s="105" t="s">
        <v>1696</v>
      </c>
      <c r="D376" s="105"/>
    </row>
    <row r="377" spans="1:4" ht="23">
      <c r="A377" s="105">
        <v>376</v>
      </c>
      <c r="B377" s="105" t="s">
        <v>1697</v>
      </c>
      <c r="C377" s="105" t="s">
        <v>1698</v>
      </c>
      <c r="D377" s="105"/>
    </row>
    <row r="378" spans="1:4" ht="23">
      <c r="A378" s="105">
        <v>377</v>
      </c>
      <c r="B378" s="105" t="s">
        <v>1699</v>
      </c>
      <c r="C378" s="105" t="s">
        <v>1700</v>
      </c>
      <c r="D378" s="105"/>
    </row>
    <row r="379" spans="1:4" ht="23">
      <c r="A379" s="105">
        <v>378</v>
      </c>
      <c r="B379" s="105" t="s">
        <v>1701</v>
      </c>
      <c r="C379" s="105" t="s">
        <v>1702</v>
      </c>
      <c r="D379" s="105"/>
    </row>
    <row r="380" spans="1:4" ht="46">
      <c r="A380" s="105">
        <v>379</v>
      </c>
      <c r="B380" s="105" t="s">
        <v>1703</v>
      </c>
      <c r="C380" s="105" t="s">
        <v>1704</v>
      </c>
      <c r="D380" s="105"/>
    </row>
    <row r="381" spans="1:4" ht="23">
      <c r="A381" s="105">
        <v>380</v>
      </c>
      <c r="B381" s="105" t="s">
        <v>1705</v>
      </c>
      <c r="C381" s="105" t="s">
        <v>1706</v>
      </c>
      <c r="D381" s="105"/>
    </row>
    <row r="382" spans="1:4" ht="23">
      <c r="A382" s="105">
        <v>381</v>
      </c>
      <c r="B382" s="105" t="s">
        <v>1707</v>
      </c>
      <c r="C382" s="105" t="s">
        <v>1708</v>
      </c>
      <c r="D382" s="105"/>
    </row>
    <row r="383" spans="1:4" ht="23">
      <c r="A383" s="105">
        <v>382</v>
      </c>
      <c r="B383" s="105" t="s">
        <v>1709</v>
      </c>
      <c r="C383" s="105" t="s">
        <v>1710</v>
      </c>
      <c r="D383" s="105"/>
    </row>
    <row r="384" spans="1:4" ht="23">
      <c r="A384" s="105">
        <v>383</v>
      </c>
      <c r="B384" s="105" t="s">
        <v>1711</v>
      </c>
      <c r="C384" s="105" t="s">
        <v>1712</v>
      </c>
      <c r="D384" s="105"/>
    </row>
    <row r="385" spans="1:4" ht="23">
      <c r="A385" s="105">
        <v>384</v>
      </c>
      <c r="B385" s="105" t="s">
        <v>1713</v>
      </c>
      <c r="C385" s="105" t="s">
        <v>1714</v>
      </c>
      <c r="D385" s="105"/>
    </row>
    <row r="386" spans="1:4" ht="23">
      <c r="A386" s="105">
        <v>385</v>
      </c>
      <c r="B386" s="105" t="s">
        <v>1557</v>
      </c>
      <c r="C386" s="105" t="s">
        <v>1715</v>
      </c>
      <c r="D386" s="105"/>
    </row>
    <row r="387" spans="1:4" ht="23">
      <c r="A387" s="105">
        <v>386</v>
      </c>
      <c r="B387" s="105" t="s">
        <v>1716</v>
      </c>
      <c r="C387" s="105" t="s">
        <v>1717</v>
      </c>
      <c r="D387" s="105"/>
    </row>
    <row r="388" spans="1:4" ht="23">
      <c r="A388" s="105">
        <v>387</v>
      </c>
      <c r="B388" s="105" t="s">
        <v>802</v>
      </c>
      <c r="C388" s="105" t="s">
        <v>1718</v>
      </c>
      <c r="D388" s="105"/>
    </row>
    <row r="389" spans="1:4" ht="23">
      <c r="A389" s="105">
        <v>388</v>
      </c>
      <c r="B389" s="105" t="s">
        <v>1719</v>
      </c>
      <c r="C389" s="105" t="s">
        <v>1720</v>
      </c>
      <c r="D389" s="105"/>
    </row>
    <row r="390" spans="1:4" ht="92">
      <c r="A390" s="105">
        <v>389</v>
      </c>
      <c r="B390" s="105" t="s">
        <v>1721</v>
      </c>
      <c r="C390" s="105" t="s">
        <v>1722</v>
      </c>
      <c r="D390" s="105"/>
    </row>
    <row r="391" spans="1:4" ht="23">
      <c r="A391" s="105">
        <v>390</v>
      </c>
      <c r="B391" s="105" t="s">
        <v>1723</v>
      </c>
      <c r="C391" s="105" t="s">
        <v>1724</v>
      </c>
      <c r="D391" s="105"/>
    </row>
    <row r="392" spans="1:4" ht="23">
      <c r="A392" s="105">
        <v>391</v>
      </c>
      <c r="B392" s="105" t="s">
        <v>1725</v>
      </c>
      <c r="C392" s="105" t="s">
        <v>1726</v>
      </c>
      <c r="D392" s="105"/>
    </row>
    <row r="393" spans="1:4" ht="23">
      <c r="A393" s="105">
        <v>392</v>
      </c>
      <c r="B393" s="105" t="s">
        <v>1727</v>
      </c>
      <c r="C393" s="105" t="s">
        <v>1728</v>
      </c>
      <c r="D393" s="105"/>
    </row>
    <row r="394" spans="1:4" ht="23">
      <c r="A394" s="105">
        <v>393</v>
      </c>
      <c r="B394" s="105" t="s">
        <v>1729</v>
      </c>
      <c r="C394" s="105" t="s">
        <v>1730</v>
      </c>
      <c r="D394" s="105"/>
    </row>
    <row r="395" spans="1:4" ht="23">
      <c r="A395" s="105">
        <v>394</v>
      </c>
      <c r="B395" s="105" t="s">
        <v>1731</v>
      </c>
      <c r="C395" s="105" t="s">
        <v>1732</v>
      </c>
      <c r="D395" s="105"/>
    </row>
    <row r="396" spans="1:4" ht="23">
      <c r="A396" s="105">
        <v>395</v>
      </c>
      <c r="B396" s="105" t="s">
        <v>1733</v>
      </c>
      <c r="C396" s="105" t="s">
        <v>1734</v>
      </c>
      <c r="D396" s="105"/>
    </row>
    <row r="397" spans="1:4" ht="23">
      <c r="A397" s="105">
        <v>396</v>
      </c>
      <c r="B397" s="105" t="s">
        <v>1735</v>
      </c>
      <c r="C397" s="105" t="s">
        <v>1736</v>
      </c>
      <c r="D397" s="105"/>
    </row>
    <row r="398" spans="1:4" ht="23">
      <c r="A398" s="105">
        <v>397</v>
      </c>
      <c r="B398" s="105" t="s">
        <v>1737</v>
      </c>
      <c r="C398" s="105" t="s">
        <v>1738</v>
      </c>
      <c r="D398" s="105"/>
    </row>
    <row r="399" spans="1:4" ht="23">
      <c r="A399" s="105">
        <v>398</v>
      </c>
      <c r="B399" s="105" t="s">
        <v>1739</v>
      </c>
      <c r="C399" s="105" t="s">
        <v>1740</v>
      </c>
      <c r="D399" s="105"/>
    </row>
    <row r="400" spans="1:4" ht="23">
      <c r="A400" s="105">
        <v>399</v>
      </c>
      <c r="B400" s="105" t="s">
        <v>589</v>
      </c>
      <c r="C400" s="105" t="s">
        <v>1741</v>
      </c>
      <c r="D400" s="105"/>
    </row>
    <row r="401" spans="1:4" ht="46">
      <c r="A401" s="105">
        <v>400</v>
      </c>
      <c r="B401" s="105" t="s">
        <v>1742</v>
      </c>
      <c r="C401" s="105" t="s">
        <v>1743</v>
      </c>
      <c r="D401" s="105"/>
    </row>
    <row r="402" spans="1:4" ht="23">
      <c r="A402" s="105">
        <v>401</v>
      </c>
      <c r="B402" s="105" t="s">
        <v>1744</v>
      </c>
      <c r="C402" s="105" t="s">
        <v>1745</v>
      </c>
      <c r="D402" s="105"/>
    </row>
    <row r="403" spans="1:4" ht="46">
      <c r="A403" s="105">
        <v>402</v>
      </c>
      <c r="B403" s="105" t="s">
        <v>1746</v>
      </c>
      <c r="C403" s="105" t="s">
        <v>1747</v>
      </c>
      <c r="D403" s="105"/>
    </row>
    <row r="404" spans="1:4" ht="23">
      <c r="A404" s="105">
        <v>403</v>
      </c>
      <c r="B404" s="105" t="s">
        <v>1748</v>
      </c>
      <c r="C404" s="105" t="s">
        <v>1749</v>
      </c>
      <c r="D404" s="105"/>
    </row>
    <row r="405" spans="1:4" ht="23">
      <c r="A405" s="105">
        <v>404</v>
      </c>
      <c r="B405" s="105" t="s">
        <v>1750</v>
      </c>
      <c r="C405" s="105" t="s">
        <v>1751</v>
      </c>
      <c r="D405" s="105"/>
    </row>
    <row r="406" spans="1:4" ht="23">
      <c r="A406" s="105">
        <v>405</v>
      </c>
      <c r="B406" s="105" t="s">
        <v>1752</v>
      </c>
      <c r="C406" s="105" t="s">
        <v>1753</v>
      </c>
      <c r="D406" s="105"/>
    </row>
    <row r="407" spans="1:4" ht="23">
      <c r="A407" s="105">
        <v>406</v>
      </c>
      <c r="B407" s="105" t="s">
        <v>1754</v>
      </c>
      <c r="C407" s="105" t="s">
        <v>1755</v>
      </c>
      <c r="D407" s="105"/>
    </row>
    <row r="408" spans="1:4" ht="23">
      <c r="A408" s="105">
        <v>407</v>
      </c>
      <c r="B408" s="105" t="s">
        <v>1756</v>
      </c>
      <c r="C408" s="105" t="s">
        <v>1757</v>
      </c>
      <c r="D408" s="105"/>
    </row>
    <row r="409" spans="1:4" ht="23">
      <c r="A409" s="105">
        <v>408</v>
      </c>
      <c r="B409" s="105" t="s">
        <v>1758</v>
      </c>
      <c r="C409" s="105" t="s">
        <v>1759</v>
      </c>
      <c r="D409" s="105"/>
    </row>
    <row r="410" spans="1:4" ht="23">
      <c r="A410" s="105">
        <v>409</v>
      </c>
      <c r="B410" s="105" t="s">
        <v>1760</v>
      </c>
      <c r="C410" s="105" t="s">
        <v>1761</v>
      </c>
      <c r="D410" s="105"/>
    </row>
    <row r="411" spans="1:4" ht="23">
      <c r="A411" s="105">
        <v>410</v>
      </c>
      <c r="B411" s="105" t="s">
        <v>1762</v>
      </c>
      <c r="C411" s="105" t="s">
        <v>1763</v>
      </c>
      <c r="D411" s="105"/>
    </row>
    <row r="412" spans="1:4" ht="46">
      <c r="A412" s="105">
        <v>411</v>
      </c>
      <c r="B412" s="105" t="s">
        <v>1764</v>
      </c>
      <c r="C412" s="105" t="s">
        <v>1765</v>
      </c>
      <c r="D412" s="105"/>
    </row>
    <row r="413" spans="1:4" ht="23">
      <c r="A413" s="105">
        <v>412</v>
      </c>
      <c r="B413" s="105" t="s">
        <v>1766</v>
      </c>
      <c r="C413" s="105" t="s">
        <v>1767</v>
      </c>
      <c r="D413" s="105"/>
    </row>
    <row r="414" spans="1:4" ht="23">
      <c r="A414" s="105">
        <v>413</v>
      </c>
      <c r="B414" s="105" t="s">
        <v>1768</v>
      </c>
      <c r="C414" s="105" t="s">
        <v>1769</v>
      </c>
      <c r="D414" s="105"/>
    </row>
    <row r="415" spans="1:4" ht="23">
      <c r="A415" s="105">
        <v>414</v>
      </c>
      <c r="B415" s="105" t="s">
        <v>1770</v>
      </c>
      <c r="C415" s="105" t="s">
        <v>1771</v>
      </c>
      <c r="D415" s="105"/>
    </row>
    <row r="416" spans="1:4" ht="23">
      <c r="A416" s="105">
        <v>415</v>
      </c>
      <c r="B416" s="105" t="s">
        <v>1772</v>
      </c>
      <c r="C416" s="105" t="s">
        <v>1773</v>
      </c>
      <c r="D416" s="105"/>
    </row>
    <row r="417" spans="1:4" ht="23">
      <c r="A417" s="105">
        <v>416</v>
      </c>
      <c r="B417" s="105" t="s">
        <v>1774</v>
      </c>
      <c r="C417" s="105" t="s">
        <v>1775</v>
      </c>
      <c r="D417" s="105"/>
    </row>
    <row r="418" spans="1:4" ht="23">
      <c r="A418" s="105">
        <v>417</v>
      </c>
      <c r="B418" s="105" t="s">
        <v>1776</v>
      </c>
      <c r="C418" s="105" t="s">
        <v>1777</v>
      </c>
      <c r="D418" s="105"/>
    </row>
    <row r="419" spans="1:4" ht="23">
      <c r="A419" s="105">
        <v>418</v>
      </c>
      <c r="B419" s="105" t="s">
        <v>1778</v>
      </c>
      <c r="C419" s="105" t="s">
        <v>1779</v>
      </c>
      <c r="D419" s="105"/>
    </row>
    <row r="420" spans="1:4" ht="23">
      <c r="A420" s="105">
        <v>419</v>
      </c>
      <c r="B420" s="105" t="s">
        <v>1780</v>
      </c>
      <c r="C420" s="105" t="s">
        <v>761</v>
      </c>
      <c r="D420" s="105"/>
    </row>
    <row r="421" spans="1:4" ht="23">
      <c r="A421" s="105">
        <v>420</v>
      </c>
      <c r="B421" s="105" t="s">
        <v>1781</v>
      </c>
      <c r="C421" s="105" t="s">
        <v>1782</v>
      </c>
      <c r="D421" s="105"/>
    </row>
    <row r="422" spans="1:4" ht="23">
      <c r="A422" s="105">
        <v>421</v>
      </c>
      <c r="B422" s="105" t="s">
        <v>1783</v>
      </c>
      <c r="C422" s="105" t="s">
        <v>1784</v>
      </c>
      <c r="D422" s="105"/>
    </row>
    <row r="423" spans="1:4" ht="23">
      <c r="A423" s="105">
        <v>422</v>
      </c>
      <c r="B423" s="105" t="s">
        <v>1785</v>
      </c>
      <c r="C423" s="105" t="s">
        <v>1786</v>
      </c>
      <c r="D423" s="105"/>
    </row>
    <row r="424" spans="1:4" ht="23">
      <c r="A424" s="105">
        <v>423</v>
      </c>
      <c r="B424" s="105" t="s">
        <v>1787</v>
      </c>
      <c r="C424" s="105" t="s">
        <v>1788</v>
      </c>
      <c r="D424" s="105"/>
    </row>
    <row r="425" spans="1:4" ht="23">
      <c r="A425" s="105">
        <v>424</v>
      </c>
      <c r="B425" s="105" t="s">
        <v>1789</v>
      </c>
      <c r="C425" s="105" t="s">
        <v>1790</v>
      </c>
      <c r="D425" s="105"/>
    </row>
    <row r="426" spans="1:4" ht="23">
      <c r="A426" s="105">
        <v>425</v>
      </c>
      <c r="B426" s="105" t="s">
        <v>1791</v>
      </c>
      <c r="C426" s="105" t="s">
        <v>1792</v>
      </c>
      <c r="D426" s="105"/>
    </row>
    <row r="427" spans="1:4" ht="23">
      <c r="A427" s="105">
        <v>426</v>
      </c>
      <c r="B427" s="105" t="s">
        <v>1793</v>
      </c>
      <c r="C427" s="105" t="s">
        <v>1794</v>
      </c>
      <c r="D427" s="105"/>
    </row>
    <row r="428" spans="1:4" ht="23">
      <c r="A428" s="105">
        <v>427</v>
      </c>
      <c r="B428" s="105" t="s">
        <v>717</v>
      </c>
      <c r="C428" s="105" t="s">
        <v>718</v>
      </c>
      <c r="D428" s="105"/>
    </row>
    <row r="429" spans="1:4" ht="23">
      <c r="A429" s="105">
        <v>428</v>
      </c>
      <c r="B429" s="105" t="s">
        <v>1797</v>
      </c>
      <c r="C429" s="105" t="s">
        <v>1798</v>
      </c>
      <c r="D429" s="105"/>
    </row>
    <row r="430" spans="1:4" ht="23">
      <c r="A430" s="105">
        <v>429</v>
      </c>
      <c r="B430" s="105" t="s">
        <v>1799</v>
      </c>
      <c r="C430" s="105" t="s">
        <v>1800</v>
      </c>
      <c r="D430" s="105"/>
    </row>
    <row r="431" spans="1:4" ht="23">
      <c r="A431" s="105">
        <v>430</v>
      </c>
      <c r="B431" s="105" t="s">
        <v>1801</v>
      </c>
      <c r="C431" s="105" t="s">
        <v>1802</v>
      </c>
      <c r="D431" s="105"/>
    </row>
    <row r="432" spans="1:4" ht="46">
      <c r="A432" s="105">
        <v>431</v>
      </c>
      <c r="B432" s="105" t="s">
        <v>1803</v>
      </c>
      <c r="C432" s="105" t="s">
        <v>1804</v>
      </c>
      <c r="D432" s="105"/>
    </row>
    <row r="433" spans="1:4" ht="23">
      <c r="A433" s="105">
        <v>432</v>
      </c>
      <c r="B433" s="105" t="s">
        <v>1805</v>
      </c>
      <c r="C433" s="105" t="s">
        <v>1806</v>
      </c>
      <c r="D433" s="105"/>
    </row>
    <row r="434" spans="1:4" ht="23">
      <c r="A434" s="105">
        <v>433</v>
      </c>
      <c r="B434" s="105" t="s">
        <v>1807</v>
      </c>
      <c r="C434" s="105" t="s">
        <v>1808</v>
      </c>
      <c r="D434" s="105"/>
    </row>
    <row r="435" spans="1:4" ht="23">
      <c r="A435" s="105">
        <v>434</v>
      </c>
      <c r="B435" s="105" t="s">
        <v>1809</v>
      </c>
      <c r="C435" s="105" t="s">
        <v>1810</v>
      </c>
      <c r="D435" s="105"/>
    </row>
    <row r="436" spans="1:4" ht="23">
      <c r="A436" s="105">
        <v>435</v>
      </c>
      <c r="B436" s="105" t="s">
        <v>1811</v>
      </c>
      <c r="C436" s="105" t="s">
        <v>1812</v>
      </c>
      <c r="D436" s="105"/>
    </row>
    <row r="437" spans="1:4" ht="23">
      <c r="A437" s="105">
        <v>436</v>
      </c>
      <c r="B437" s="105" t="s">
        <v>1813</v>
      </c>
      <c r="C437" s="105" t="s">
        <v>1814</v>
      </c>
      <c r="D437" s="105"/>
    </row>
    <row r="438" spans="1:4" ht="23">
      <c r="A438" s="105">
        <v>437</v>
      </c>
      <c r="B438" s="105" t="s">
        <v>1815</v>
      </c>
      <c r="C438" s="105" t="s">
        <v>1816</v>
      </c>
      <c r="D438" s="105"/>
    </row>
    <row r="439" spans="1:4" ht="23">
      <c r="A439" s="105">
        <v>438</v>
      </c>
      <c r="B439" s="105" t="s">
        <v>1817</v>
      </c>
      <c r="C439" s="105" t="s">
        <v>1818</v>
      </c>
      <c r="D439" s="105"/>
    </row>
    <row r="440" spans="1:4" ht="23">
      <c r="A440" s="105">
        <v>439</v>
      </c>
      <c r="B440" s="105" t="s">
        <v>1819</v>
      </c>
      <c r="C440" s="105" t="s">
        <v>1820</v>
      </c>
      <c r="D440" s="105"/>
    </row>
    <row r="441" spans="1:4" ht="23">
      <c r="A441" s="105">
        <v>440</v>
      </c>
      <c r="B441" s="105" t="s">
        <v>1821</v>
      </c>
      <c r="C441" s="105" t="s">
        <v>1822</v>
      </c>
      <c r="D441" s="105"/>
    </row>
    <row r="442" spans="1:4" ht="23">
      <c r="A442" s="105">
        <v>441</v>
      </c>
      <c r="B442" s="105" t="s">
        <v>1823</v>
      </c>
      <c r="C442" s="105" t="s">
        <v>1824</v>
      </c>
      <c r="D442" s="105"/>
    </row>
    <row r="443" spans="1:4" ht="23">
      <c r="A443" s="105">
        <v>442</v>
      </c>
      <c r="B443" s="105" t="s">
        <v>1825</v>
      </c>
      <c r="C443" s="105" t="s">
        <v>1826</v>
      </c>
      <c r="D443" s="105"/>
    </row>
    <row r="444" spans="1:4" ht="23">
      <c r="A444" s="105">
        <v>443</v>
      </c>
      <c r="B444" s="105" t="s">
        <v>1827</v>
      </c>
      <c r="C444" s="105" t="s">
        <v>1828</v>
      </c>
      <c r="D444" s="105"/>
    </row>
    <row r="445" spans="1:4" ht="23">
      <c r="A445" s="105">
        <v>444</v>
      </c>
      <c r="B445" s="105" t="s">
        <v>1829</v>
      </c>
      <c r="C445" s="105" t="s">
        <v>1830</v>
      </c>
      <c r="D445" s="105"/>
    </row>
    <row r="446" spans="1:4" ht="23">
      <c r="A446" s="105">
        <v>445</v>
      </c>
      <c r="B446" s="105" t="s">
        <v>1831</v>
      </c>
      <c r="C446" s="105" t="s">
        <v>1832</v>
      </c>
      <c r="D446" s="105"/>
    </row>
    <row r="447" spans="1:4" ht="23">
      <c r="A447" s="105">
        <v>446</v>
      </c>
      <c r="B447" s="105" t="s">
        <v>1833</v>
      </c>
      <c r="C447" s="105" t="s">
        <v>1834</v>
      </c>
      <c r="D447" s="105"/>
    </row>
    <row r="448" spans="1:4" ht="23">
      <c r="A448" s="105">
        <v>447</v>
      </c>
      <c r="B448" s="105" t="s">
        <v>1835</v>
      </c>
      <c r="C448" s="105" t="s">
        <v>1836</v>
      </c>
      <c r="D448" s="105"/>
    </row>
    <row r="449" spans="1:4" ht="23">
      <c r="A449" s="105">
        <v>448</v>
      </c>
      <c r="B449" s="105" t="s">
        <v>1837</v>
      </c>
      <c r="C449" s="105" t="s">
        <v>1838</v>
      </c>
      <c r="D449" s="105"/>
    </row>
    <row r="450" spans="1:4" ht="23">
      <c r="A450" s="105">
        <v>449</v>
      </c>
      <c r="B450" s="105" t="s">
        <v>1839</v>
      </c>
      <c r="C450" s="105" t="s">
        <v>1840</v>
      </c>
      <c r="D450" s="105"/>
    </row>
    <row r="451" spans="1:4" ht="23">
      <c r="A451" s="105">
        <v>450</v>
      </c>
      <c r="B451" s="105" t="s">
        <v>1841</v>
      </c>
      <c r="C451" s="105" t="s">
        <v>1842</v>
      </c>
      <c r="D451" s="105"/>
    </row>
    <row r="452" spans="1:4" ht="23">
      <c r="A452" s="105">
        <v>451</v>
      </c>
      <c r="B452" s="105" t="s">
        <v>1843</v>
      </c>
      <c r="C452" s="105" t="s">
        <v>1844</v>
      </c>
      <c r="D452" s="105"/>
    </row>
    <row r="453" spans="1:4" ht="23">
      <c r="A453" s="105">
        <v>452</v>
      </c>
      <c r="B453" s="105" t="s">
        <v>1845</v>
      </c>
      <c r="C453" s="105" t="s">
        <v>1846</v>
      </c>
      <c r="D453" s="105"/>
    </row>
    <row r="454" spans="1:4" ht="23">
      <c r="A454" s="105">
        <v>453</v>
      </c>
      <c r="B454" s="105" t="s">
        <v>1847</v>
      </c>
      <c r="C454" s="105" t="s">
        <v>1848</v>
      </c>
      <c r="D454" s="105"/>
    </row>
    <row r="455" spans="1:4" ht="23">
      <c r="A455" s="105">
        <v>454</v>
      </c>
      <c r="B455" s="105" t="s">
        <v>1849</v>
      </c>
      <c r="C455" s="105" t="s">
        <v>1850</v>
      </c>
      <c r="D455" s="105"/>
    </row>
    <row r="456" spans="1:4" ht="23">
      <c r="A456" s="105">
        <v>455</v>
      </c>
      <c r="B456" s="105" t="s">
        <v>1851</v>
      </c>
      <c r="C456" s="105" t="s">
        <v>1852</v>
      </c>
      <c r="D456" s="105"/>
    </row>
    <row r="457" spans="1:4" ht="28">
      <c r="A457" s="105">
        <v>456</v>
      </c>
      <c r="B457" s="105" t="s">
        <v>1853</v>
      </c>
      <c r="C457" s="105" t="s">
        <v>4059</v>
      </c>
      <c r="D457" s="105"/>
    </row>
    <row r="458" spans="1:4" ht="23">
      <c r="A458" s="105">
        <v>457</v>
      </c>
      <c r="B458" s="105" t="s">
        <v>1854</v>
      </c>
      <c r="C458" s="105" t="s">
        <v>1855</v>
      </c>
      <c r="D458" s="105"/>
    </row>
    <row r="459" spans="1:4" ht="23">
      <c r="A459" s="105">
        <v>458</v>
      </c>
      <c r="B459" s="105" t="s">
        <v>1856</v>
      </c>
      <c r="C459" s="105" t="s">
        <v>1857</v>
      </c>
      <c r="D459" s="105"/>
    </row>
    <row r="460" spans="1:4" ht="23">
      <c r="A460" s="105">
        <v>459</v>
      </c>
      <c r="B460" s="105" t="s">
        <v>1858</v>
      </c>
      <c r="C460" s="105" t="s">
        <v>1859</v>
      </c>
      <c r="D460" s="105"/>
    </row>
    <row r="461" spans="1:4" ht="23">
      <c r="A461" s="105">
        <v>460</v>
      </c>
      <c r="B461" s="105" t="s">
        <v>1860</v>
      </c>
      <c r="C461" s="105" t="s">
        <v>1861</v>
      </c>
      <c r="D461" s="105"/>
    </row>
    <row r="462" spans="1:4" ht="23">
      <c r="A462" s="105">
        <v>461</v>
      </c>
      <c r="B462" s="105" t="s">
        <v>1862</v>
      </c>
      <c r="C462" s="105" t="s">
        <v>1863</v>
      </c>
      <c r="D462" s="105"/>
    </row>
    <row r="463" spans="1:4" ht="23">
      <c r="A463" s="105">
        <v>462</v>
      </c>
      <c r="B463" s="105" t="s">
        <v>1864</v>
      </c>
      <c r="C463" s="105" t="s">
        <v>1865</v>
      </c>
      <c r="D463" s="105"/>
    </row>
    <row r="464" spans="1:4" ht="23">
      <c r="A464" s="105">
        <v>463</v>
      </c>
      <c r="B464" s="105" t="s">
        <v>1866</v>
      </c>
      <c r="C464" s="105" t="s">
        <v>1867</v>
      </c>
      <c r="D464" s="105"/>
    </row>
    <row r="465" spans="1:4" ht="23">
      <c r="A465" s="105">
        <v>464</v>
      </c>
      <c r="B465" s="105" t="s">
        <v>1868</v>
      </c>
      <c r="C465" s="105" t="s">
        <v>1869</v>
      </c>
      <c r="D465" s="105"/>
    </row>
    <row r="466" spans="1:4" ht="23">
      <c r="A466" s="105">
        <v>465</v>
      </c>
      <c r="B466" s="105" t="s">
        <v>1870</v>
      </c>
      <c r="C466" s="105" t="s">
        <v>1871</v>
      </c>
      <c r="D466" s="105"/>
    </row>
    <row r="467" spans="1:4" ht="23">
      <c r="A467" s="105">
        <v>466</v>
      </c>
      <c r="B467" s="105" t="s">
        <v>1872</v>
      </c>
      <c r="C467" s="105" t="s">
        <v>1873</v>
      </c>
      <c r="D467" s="105"/>
    </row>
    <row r="468" spans="1:4" ht="23">
      <c r="A468" s="105">
        <v>467</v>
      </c>
      <c r="B468" s="105" t="s">
        <v>1874</v>
      </c>
      <c r="C468" s="105" t="s">
        <v>1875</v>
      </c>
      <c r="D468" s="105"/>
    </row>
    <row r="469" spans="1:4" ht="23">
      <c r="A469" s="105">
        <v>468</v>
      </c>
      <c r="B469" s="105" t="s">
        <v>1876</v>
      </c>
      <c r="C469" s="105" t="s">
        <v>1877</v>
      </c>
      <c r="D469" s="105"/>
    </row>
    <row r="470" spans="1:4" ht="23">
      <c r="A470" s="105">
        <v>469</v>
      </c>
      <c r="B470" s="105" t="s">
        <v>1878</v>
      </c>
      <c r="C470" s="105" t="s">
        <v>1879</v>
      </c>
      <c r="D470" s="105"/>
    </row>
    <row r="471" spans="1:4" ht="23">
      <c r="A471" s="105">
        <v>470</v>
      </c>
      <c r="B471" s="105" t="s">
        <v>1880</v>
      </c>
      <c r="C471" s="105" t="s">
        <v>1881</v>
      </c>
      <c r="D471" s="105"/>
    </row>
    <row r="472" spans="1:4" ht="23">
      <c r="A472" s="105">
        <v>471</v>
      </c>
      <c r="B472" s="105" t="s">
        <v>1882</v>
      </c>
      <c r="C472" s="105" t="s">
        <v>1883</v>
      </c>
      <c r="D472" s="105"/>
    </row>
    <row r="473" spans="1:4" ht="23">
      <c r="A473" s="105">
        <v>472</v>
      </c>
      <c r="B473" s="105" t="s">
        <v>1884</v>
      </c>
      <c r="C473" s="105" t="s">
        <v>1885</v>
      </c>
      <c r="D473" s="105"/>
    </row>
    <row r="474" spans="1:4" ht="23">
      <c r="A474" s="105">
        <v>473</v>
      </c>
      <c r="B474" s="105" t="s">
        <v>1886</v>
      </c>
      <c r="C474" s="105" t="s">
        <v>1887</v>
      </c>
      <c r="D474" s="105"/>
    </row>
    <row r="475" spans="1:4" ht="23">
      <c r="A475" s="105">
        <v>474</v>
      </c>
      <c r="B475" s="105" t="s">
        <v>1888</v>
      </c>
      <c r="C475" s="105" t="s">
        <v>1889</v>
      </c>
      <c r="D475" s="105"/>
    </row>
    <row r="476" spans="1:4" ht="23">
      <c r="A476" s="105">
        <v>475</v>
      </c>
      <c r="B476" s="105" t="s">
        <v>1890</v>
      </c>
      <c r="C476" s="105" t="s">
        <v>1891</v>
      </c>
      <c r="D476" s="105"/>
    </row>
    <row r="477" spans="1:4" ht="23">
      <c r="A477" s="105">
        <v>476</v>
      </c>
      <c r="B477" s="105" t="s">
        <v>1892</v>
      </c>
      <c r="C477" s="105" t="s">
        <v>1893</v>
      </c>
      <c r="D477" s="105"/>
    </row>
    <row r="478" spans="1:4" ht="23">
      <c r="A478" s="105">
        <v>477</v>
      </c>
      <c r="B478" s="105" t="s">
        <v>1894</v>
      </c>
      <c r="C478" s="105" t="s">
        <v>1895</v>
      </c>
      <c r="D478" s="105"/>
    </row>
    <row r="479" spans="1:4" ht="23">
      <c r="A479" s="105">
        <v>478</v>
      </c>
      <c r="B479" s="105" t="s">
        <v>1896</v>
      </c>
      <c r="C479" s="105" t="s">
        <v>1897</v>
      </c>
      <c r="D479" s="105"/>
    </row>
    <row r="480" spans="1:4" ht="23">
      <c r="A480" s="105">
        <v>479</v>
      </c>
      <c r="B480" s="105" t="s">
        <v>1898</v>
      </c>
      <c r="C480" s="105" t="s">
        <v>1899</v>
      </c>
      <c r="D480" s="105"/>
    </row>
    <row r="481" spans="1:4" ht="23">
      <c r="A481" s="105">
        <v>480</v>
      </c>
      <c r="B481" s="105" t="s">
        <v>1900</v>
      </c>
      <c r="C481" s="105" t="s">
        <v>1901</v>
      </c>
      <c r="D481" s="105"/>
    </row>
    <row r="482" spans="1:4" ht="23">
      <c r="A482" s="105">
        <v>481</v>
      </c>
      <c r="B482" s="105" t="s">
        <v>1902</v>
      </c>
      <c r="C482" s="105" t="s">
        <v>1903</v>
      </c>
      <c r="D482" s="105"/>
    </row>
    <row r="483" spans="1:4" ht="23">
      <c r="A483" s="105">
        <v>482</v>
      </c>
      <c r="B483" s="105" t="s">
        <v>1904</v>
      </c>
      <c r="C483" s="105" t="s">
        <v>1905</v>
      </c>
      <c r="D483" s="105"/>
    </row>
    <row r="484" spans="1:4" ht="23">
      <c r="A484" s="105">
        <v>483</v>
      </c>
      <c r="B484" s="105" t="s">
        <v>1906</v>
      </c>
      <c r="C484" s="105" t="s">
        <v>1907</v>
      </c>
      <c r="D484" s="105"/>
    </row>
    <row r="485" spans="1:4" ht="23">
      <c r="A485" s="105">
        <v>484</v>
      </c>
      <c r="B485" s="105" t="s">
        <v>1908</v>
      </c>
      <c r="C485" s="105" t="s">
        <v>1909</v>
      </c>
      <c r="D485" s="105"/>
    </row>
    <row r="486" spans="1:4" ht="92">
      <c r="A486" s="105">
        <v>485</v>
      </c>
      <c r="B486" s="105" t="s">
        <v>1910</v>
      </c>
      <c r="C486" s="105" t="s">
        <v>1911</v>
      </c>
      <c r="D486" s="105"/>
    </row>
    <row r="487" spans="1:4" ht="23">
      <c r="A487" s="105">
        <v>486</v>
      </c>
      <c r="B487" s="105" t="s">
        <v>1912</v>
      </c>
      <c r="C487" s="105" t="s">
        <v>1913</v>
      </c>
      <c r="D487" s="105"/>
    </row>
    <row r="488" spans="1:4" ht="23">
      <c r="A488" s="105">
        <v>487</v>
      </c>
      <c r="B488" s="105" t="s">
        <v>1914</v>
      </c>
      <c r="C488" s="105" t="s">
        <v>1915</v>
      </c>
      <c r="D488" s="105"/>
    </row>
    <row r="489" spans="1:4" ht="23">
      <c r="A489" s="105">
        <v>488</v>
      </c>
      <c r="B489" s="105" t="s">
        <v>1916</v>
      </c>
      <c r="C489" s="105" t="s">
        <v>1917</v>
      </c>
      <c r="D489" s="105"/>
    </row>
    <row r="490" spans="1:4" ht="23">
      <c r="A490" s="105">
        <v>489</v>
      </c>
      <c r="B490" s="105" t="s">
        <v>1918</v>
      </c>
      <c r="C490" s="105" t="s">
        <v>1919</v>
      </c>
      <c r="D490" s="105"/>
    </row>
    <row r="491" spans="1:4" ht="23">
      <c r="A491" s="105">
        <v>490</v>
      </c>
      <c r="B491" s="105" t="s">
        <v>1920</v>
      </c>
      <c r="C491" s="105" t="s">
        <v>1921</v>
      </c>
      <c r="D491" s="105"/>
    </row>
    <row r="492" spans="1:4" ht="23">
      <c r="A492" s="105">
        <v>491</v>
      </c>
      <c r="B492" s="105" t="s">
        <v>1922</v>
      </c>
      <c r="C492" s="105" t="s">
        <v>1923</v>
      </c>
      <c r="D492" s="105"/>
    </row>
    <row r="493" spans="1:4" ht="23">
      <c r="A493" s="105">
        <v>492</v>
      </c>
      <c r="B493" s="105" t="s">
        <v>1924</v>
      </c>
      <c r="C493" s="105" t="s">
        <v>1925</v>
      </c>
      <c r="D493" s="105"/>
    </row>
    <row r="494" spans="1:4" ht="23">
      <c r="A494" s="105">
        <v>493</v>
      </c>
      <c r="B494" s="105" t="s">
        <v>1926</v>
      </c>
      <c r="C494" s="105" t="s">
        <v>1927</v>
      </c>
      <c r="D494" s="105"/>
    </row>
    <row r="495" spans="1:4" ht="23">
      <c r="A495" s="105">
        <v>494</v>
      </c>
      <c r="B495" s="105" t="s">
        <v>1928</v>
      </c>
      <c r="C495" s="105" t="s">
        <v>1929</v>
      </c>
      <c r="D495" s="105"/>
    </row>
    <row r="496" spans="1:4" ht="23">
      <c r="A496" s="105">
        <v>495</v>
      </c>
      <c r="B496" s="105" t="s">
        <v>1930</v>
      </c>
      <c r="C496" s="105" t="s">
        <v>1931</v>
      </c>
      <c r="D496" s="105"/>
    </row>
    <row r="497" spans="1:4" ht="46">
      <c r="A497" s="105">
        <v>496</v>
      </c>
      <c r="B497" s="105" t="s">
        <v>1932</v>
      </c>
      <c r="C497" s="105" t="s">
        <v>1933</v>
      </c>
      <c r="D497" s="105"/>
    </row>
    <row r="498" spans="1:4" ht="23">
      <c r="A498" s="105">
        <v>497</v>
      </c>
      <c r="B498" s="105" t="s">
        <v>1934</v>
      </c>
      <c r="C498" s="105" t="s">
        <v>1935</v>
      </c>
      <c r="D498" s="105"/>
    </row>
    <row r="499" spans="1:4" ht="23">
      <c r="A499" s="105">
        <v>498</v>
      </c>
      <c r="B499" s="105" t="s">
        <v>1936</v>
      </c>
      <c r="C499" s="105" t="s">
        <v>1937</v>
      </c>
      <c r="D499" s="105"/>
    </row>
    <row r="500" spans="1:4" ht="23">
      <c r="A500" s="105">
        <v>499</v>
      </c>
      <c r="B500" s="105" t="s">
        <v>1938</v>
      </c>
      <c r="C500" s="105" t="s">
        <v>1939</v>
      </c>
      <c r="D500" s="105"/>
    </row>
    <row r="501" spans="1:4" ht="23">
      <c r="A501" s="105">
        <v>500</v>
      </c>
      <c r="B501" s="105" t="s">
        <v>1940</v>
      </c>
      <c r="C501" s="105" t="s">
        <v>1941</v>
      </c>
      <c r="D501" s="105"/>
    </row>
    <row r="502" spans="1:4" ht="23">
      <c r="A502" s="105">
        <v>501</v>
      </c>
      <c r="B502" s="105" t="s">
        <v>1942</v>
      </c>
      <c r="C502" s="105" t="s">
        <v>1943</v>
      </c>
      <c r="D502" s="105"/>
    </row>
    <row r="503" spans="1:4" ht="23">
      <c r="A503" s="105">
        <v>502</v>
      </c>
      <c r="B503" s="105" t="s">
        <v>1944</v>
      </c>
      <c r="C503" s="105" t="s">
        <v>1945</v>
      </c>
      <c r="D503" s="105"/>
    </row>
    <row r="504" spans="1:4" ht="23">
      <c r="A504" s="105">
        <v>503</v>
      </c>
      <c r="B504" s="105" t="s">
        <v>1946</v>
      </c>
      <c r="C504" s="105" t="s">
        <v>1947</v>
      </c>
      <c r="D504" s="105"/>
    </row>
    <row r="505" spans="1:4" ht="23">
      <c r="A505" s="105">
        <v>504</v>
      </c>
      <c r="B505" s="105" t="s">
        <v>1948</v>
      </c>
      <c r="C505" s="105" t="s">
        <v>1949</v>
      </c>
      <c r="D505" s="105"/>
    </row>
    <row r="506" spans="1:4" ht="23">
      <c r="A506" s="105">
        <v>505</v>
      </c>
      <c r="B506" s="105" t="s">
        <v>1623</v>
      </c>
      <c r="C506" s="105" t="s">
        <v>1950</v>
      </c>
      <c r="D506" s="105"/>
    </row>
    <row r="507" spans="1:4" ht="23">
      <c r="A507" s="105">
        <v>506</v>
      </c>
      <c r="B507" s="105" t="s">
        <v>1951</v>
      </c>
      <c r="C507" s="105" t="s">
        <v>1952</v>
      </c>
      <c r="D507" s="105"/>
    </row>
    <row r="508" spans="1:4" ht="23">
      <c r="A508" s="105">
        <v>507</v>
      </c>
      <c r="B508" s="105" t="s">
        <v>1953</v>
      </c>
      <c r="C508" s="105" t="s">
        <v>1954</v>
      </c>
      <c r="D508" s="105"/>
    </row>
    <row r="509" spans="1:4" ht="23">
      <c r="A509" s="105">
        <v>508</v>
      </c>
      <c r="B509" s="105" t="s">
        <v>1955</v>
      </c>
      <c r="C509" s="105" t="s">
        <v>1956</v>
      </c>
      <c r="D509" s="105"/>
    </row>
    <row r="510" spans="1:4" ht="23">
      <c r="A510" s="105">
        <v>509</v>
      </c>
      <c r="B510" s="105" t="s">
        <v>1957</v>
      </c>
      <c r="C510" s="105" t="s">
        <v>1958</v>
      </c>
      <c r="D510" s="105"/>
    </row>
    <row r="511" spans="1:4" ht="23">
      <c r="A511" s="105">
        <v>510</v>
      </c>
      <c r="B511" s="105" t="s">
        <v>1959</v>
      </c>
      <c r="C511" s="105" t="s">
        <v>1960</v>
      </c>
      <c r="D511" s="105"/>
    </row>
    <row r="512" spans="1:4" ht="23">
      <c r="A512" s="105">
        <v>511</v>
      </c>
      <c r="B512" s="105" t="s">
        <v>1961</v>
      </c>
      <c r="C512" s="105" t="s">
        <v>1962</v>
      </c>
      <c r="D512" s="105"/>
    </row>
    <row r="513" spans="1:4" ht="23">
      <c r="A513" s="105">
        <v>512</v>
      </c>
      <c r="B513" s="105" t="s">
        <v>1963</v>
      </c>
      <c r="C513" s="105" t="s">
        <v>1964</v>
      </c>
      <c r="D513" s="105"/>
    </row>
    <row r="514" spans="1:4" ht="23">
      <c r="A514" s="105">
        <v>513</v>
      </c>
      <c r="B514" s="105" t="s">
        <v>1965</v>
      </c>
      <c r="C514" s="105" t="s">
        <v>1966</v>
      </c>
      <c r="D514" s="105"/>
    </row>
    <row r="515" spans="1:4" ht="23">
      <c r="A515" s="105">
        <v>514</v>
      </c>
      <c r="B515" s="105" t="s">
        <v>1967</v>
      </c>
      <c r="C515" s="105" t="s">
        <v>1968</v>
      </c>
      <c r="D515" s="105"/>
    </row>
    <row r="516" spans="1:4" ht="23">
      <c r="A516" s="105">
        <v>515</v>
      </c>
      <c r="B516" s="105" t="s">
        <v>1969</v>
      </c>
      <c r="C516" s="105" t="s">
        <v>1970</v>
      </c>
      <c r="D516" s="105"/>
    </row>
    <row r="517" spans="1:4" ht="23">
      <c r="A517" s="105">
        <v>516</v>
      </c>
      <c r="B517" s="105" t="s">
        <v>1971</v>
      </c>
      <c r="C517" s="105" t="s">
        <v>1972</v>
      </c>
      <c r="D517" s="105"/>
    </row>
    <row r="518" spans="1:4" ht="46">
      <c r="A518" s="105">
        <v>517</v>
      </c>
      <c r="B518" s="105" t="s">
        <v>1973</v>
      </c>
      <c r="C518" s="105" t="s">
        <v>1974</v>
      </c>
      <c r="D518" s="105"/>
    </row>
    <row r="519" spans="1:4" ht="23">
      <c r="A519" s="105">
        <v>518</v>
      </c>
      <c r="B519" s="105" t="s">
        <v>1975</v>
      </c>
      <c r="C519" s="105" t="s">
        <v>1976</v>
      </c>
      <c r="D519" s="105"/>
    </row>
    <row r="520" spans="1:4" ht="23">
      <c r="A520" s="105">
        <v>519</v>
      </c>
      <c r="B520" s="105" t="s">
        <v>1977</v>
      </c>
      <c r="C520" s="105" t="s">
        <v>1978</v>
      </c>
      <c r="D520" s="105"/>
    </row>
    <row r="521" spans="1:4" ht="23">
      <c r="A521" s="105">
        <v>520</v>
      </c>
      <c r="B521" s="105" t="s">
        <v>1979</v>
      </c>
      <c r="C521" s="105" t="s">
        <v>1980</v>
      </c>
      <c r="D521" s="105"/>
    </row>
    <row r="522" spans="1:4" ht="23">
      <c r="A522" s="105">
        <v>521</v>
      </c>
      <c r="B522" s="105" t="s">
        <v>1981</v>
      </c>
      <c r="C522" s="105" t="s">
        <v>1982</v>
      </c>
      <c r="D522" s="105"/>
    </row>
    <row r="523" spans="1:4" ht="23">
      <c r="A523" s="105">
        <v>522</v>
      </c>
      <c r="B523" s="105" t="s">
        <v>1983</v>
      </c>
      <c r="C523" s="105" t="s">
        <v>1984</v>
      </c>
      <c r="D523" s="105"/>
    </row>
    <row r="524" spans="1:4" ht="23">
      <c r="A524" s="105">
        <v>523</v>
      </c>
      <c r="B524" s="105" t="s">
        <v>1985</v>
      </c>
      <c r="C524" s="105" t="s">
        <v>1986</v>
      </c>
      <c r="D524" s="105"/>
    </row>
    <row r="525" spans="1:4" ht="23">
      <c r="A525" s="105">
        <v>524</v>
      </c>
      <c r="B525" s="105" t="s">
        <v>1987</v>
      </c>
      <c r="C525" s="105" t="s">
        <v>1988</v>
      </c>
      <c r="D525" s="105"/>
    </row>
    <row r="526" spans="1:4" ht="23">
      <c r="A526" s="105">
        <v>525</v>
      </c>
      <c r="B526" s="105" t="s">
        <v>1989</v>
      </c>
      <c r="C526" s="105" t="s">
        <v>1990</v>
      </c>
      <c r="D526" s="105"/>
    </row>
    <row r="527" spans="1:4" ht="23">
      <c r="A527" s="105">
        <v>526</v>
      </c>
      <c r="B527" s="105" t="s">
        <v>1991</v>
      </c>
      <c r="C527" s="105" t="s">
        <v>1992</v>
      </c>
      <c r="D527" s="105"/>
    </row>
    <row r="528" spans="1:4" ht="23">
      <c r="A528" s="105">
        <v>527</v>
      </c>
      <c r="B528" s="105" t="s">
        <v>1993</v>
      </c>
      <c r="C528" s="105" t="s">
        <v>1994</v>
      </c>
      <c r="D528" s="105"/>
    </row>
    <row r="529" spans="1:4" ht="23">
      <c r="A529" s="105">
        <v>528</v>
      </c>
      <c r="B529" s="105" t="s">
        <v>1995</v>
      </c>
      <c r="C529" s="105" t="s">
        <v>1996</v>
      </c>
      <c r="D529" s="105"/>
    </row>
    <row r="530" spans="1:4" ht="23">
      <c r="A530" s="105">
        <v>529</v>
      </c>
      <c r="B530" s="105" t="s">
        <v>1433</v>
      </c>
      <c r="C530" s="105" t="s">
        <v>1997</v>
      </c>
      <c r="D530" s="105"/>
    </row>
    <row r="531" spans="1:4" ht="46">
      <c r="A531" s="105">
        <v>530</v>
      </c>
      <c r="B531" s="105" t="s">
        <v>1998</v>
      </c>
      <c r="C531" s="105" t="s">
        <v>1999</v>
      </c>
      <c r="D531" s="105"/>
    </row>
    <row r="532" spans="1:4" ht="23">
      <c r="A532" s="105">
        <v>531</v>
      </c>
      <c r="B532" s="105" t="s">
        <v>2000</v>
      </c>
      <c r="C532" s="105" t="s">
        <v>2001</v>
      </c>
      <c r="D532" s="105"/>
    </row>
    <row r="533" spans="1:4" ht="23">
      <c r="A533" s="105">
        <v>532</v>
      </c>
      <c r="B533" s="105" t="s">
        <v>2002</v>
      </c>
      <c r="C533" s="105" t="s">
        <v>2003</v>
      </c>
      <c r="D533" s="105"/>
    </row>
    <row r="534" spans="1:4" ht="23">
      <c r="A534" s="105">
        <v>533</v>
      </c>
      <c r="B534" s="105" t="s">
        <v>2004</v>
      </c>
      <c r="C534" s="105" t="s">
        <v>2005</v>
      </c>
      <c r="D534" s="105"/>
    </row>
    <row r="535" spans="1:4" ht="23">
      <c r="A535" s="105">
        <v>534</v>
      </c>
      <c r="B535" s="105" t="s">
        <v>2006</v>
      </c>
      <c r="C535" s="105" t="s">
        <v>2007</v>
      </c>
      <c r="D535" s="105"/>
    </row>
    <row r="536" spans="1:4" ht="23">
      <c r="A536" s="105">
        <v>535</v>
      </c>
      <c r="B536" s="105" t="s">
        <v>2008</v>
      </c>
      <c r="C536" s="105" t="s">
        <v>2009</v>
      </c>
      <c r="D536" s="105"/>
    </row>
    <row r="537" spans="1:4" ht="23">
      <c r="A537" s="105">
        <v>536</v>
      </c>
      <c r="B537" s="105" t="s">
        <v>2010</v>
      </c>
      <c r="C537" s="105" t="s">
        <v>2011</v>
      </c>
      <c r="D537" s="105"/>
    </row>
    <row r="538" spans="1:4" ht="23">
      <c r="A538" s="105">
        <v>537</v>
      </c>
      <c r="B538" s="105" t="s">
        <v>2012</v>
      </c>
      <c r="C538" s="105" t="s">
        <v>2013</v>
      </c>
      <c r="D538" s="105"/>
    </row>
    <row r="539" spans="1:4" ht="23">
      <c r="A539" s="105">
        <v>538</v>
      </c>
      <c r="B539" s="105" t="s">
        <v>2014</v>
      </c>
      <c r="C539" s="105" t="s">
        <v>2015</v>
      </c>
      <c r="D539" s="105"/>
    </row>
    <row r="540" spans="1:4" ht="46">
      <c r="A540" s="105">
        <v>539</v>
      </c>
      <c r="B540" s="105" t="s">
        <v>2016</v>
      </c>
      <c r="C540" s="105" t="s">
        <v>2017</v>
      </c>
      <c r="D540" s="105"/>
    </row>
    <row r="541" spans="1:4" ht="23">
      <c r="A541" s="105">
        <v>540</v>
      </c>
      <c r="B541" s="105" t="s">
        <v>2018</v>
      </c>
      <c r="C541" s="105" t="s">
        <v>2019</v>
      </c>
      <c r="D541" s="105"/>
    </row>
    <row r="542" spans="1:4" ht="23">
      <c r="A542" s="105">
        <v>541</v>
      </c>
      <c r="B542" s="105" t="s">
        <v>2020</v>
      </c>
      <c r="C542" s="105" t="s">
        <v>2021</v>
      </c>
      <c r="D542" s="105"/>
    </row>
    <row r="543" spans="1:4" ht="23">
      <c r="A543" s="105">
        <v>542</v>
      </c>
      <c r="B543" s="105" t="s">
        <v>2022</v>
      </c>
      <c r="C543" s="105" t="s">
        <v>2023</v>
      </c>
      <c r="D543" s="105"/>
    </row>
    <row r="544" spans="1:4" ht="23">
      <c r="A544" s="105">
        <v>543</v>
      </c>
      <c r="B544" s="105" t="s">
        <v>2024</v>
      </c>
      <c r="C544" s="105" t="s">
        <v>2025</v>
      </c>
      <c r="D544" s="105"/>
    </row>
    <row r="545" spans="1:4" ht="23">
      <c r="A545" s="105">
        <v>544</v>
      </c>
      <c r="B545" s="105" t="s">
        <v>2026</v>
      </c>
      <c r="C545" s="105" t="s">
        <v>2027</v>
      </c>
      <c r="D545" s="105"/>
    </row>
    <row r="546" spans="1:4" ht="46">
      <c r="A546" s="105">
        <v>545</v>
      </c>
      <c r="B546" s="105" t="s">
        <v>2028</v>
      </c>
      <c r="C546" s="105" t="s">
        <v>2029</v>
      </c>
      <c r="D546" s="105"/>
    </row>
    <row r="547" spans="1:4" ht="46">
      <c r="A547" s="105">
        <v>546</v>
      </c>
      <c r="B547" s="105" t="s">
        <v>2030</v>
      </c>
      <c r="C547" s="105" t="s">
        <v>2031</v>
      </c>
      <c r="D547" s="105"/>
    </row>
    <row r="548" spans="1:4" ht="23">
      <c r="A548" s="105">
        <v>547</v>
      </c>
      <c r="B548" s="105" t="s">
        <v>2032</v>
      </c>
      <c r="C548" s="105" t="s">
        <v>2033</v>
      </c>
      <c r="D548" s="105"/>
    </row>
    <row r="549" spans="1:4" ht="23">
      <c r="A549" s="105">
        <v>548</v>
      </c>
      <c r="B549" s="105" t="s">
        <v>2034</v>
      </c>
      <c r="C549" s="105" t="s">
        <v>2035</v>
      </c>
      <c r="D549" s="105"/>
    </row>
    <row r="550" spans="1:4" ht="23">
      <c r="A550" s="105">
        <v>549</v>
      </c>
      <c r="B550" s="105" t="s">
        <v>2036</v>
      </c>
      <c r="C550" s="105" t="s">
        <v>2037</v>
      </c>
      <c r="D550" s="105"/>
    </row>
    <row r="551" spans="1:4" ht="23">
      <c r="A551" s="105">
        <v>550</v>
      </c>
      <c r="B551" s="105" t="s">
        <v>2038</v>
      </c>
      <c r="C551" s="105" t="s">
        <v>2039</v>
      </c>
      <c r="D551" s="105"/>
    </row>
    <row r="552" spans="1:4" ht="23">
      <c r="A552" s="105">
        <v>551</v>
      </c>
      <c r="B552" s="105" t="s">
        <v>2040</v>
      </c>
      <c r="C552" s="105" t="s">
        <v>2041</v>
      </c>
      <c r="D552" s="105"/>
    </row>
    <row r="553" spans="1:4" ht="23">
      <c r="A553" s="105">
        <v>552</v>
      </c>
      <c r="B553" s="105" t="s">
        <v>2042</v>
      </c>
      <c r="C553" s="105" t="s">
        <v>2043</v>
      </c>
      <c r="D553" s="105"/>
    </row>
    <row r="554" spans="1:4" ht="23">
      <c r="A554" s="105">
        <v>553</v>
      </c>
      <c r="B554" s="105" t="s">
        <v>2044</v>
      </c>
      <c r="C554" s="105" t="s">
        <v>2045</v>
      </c>
      <c r="D554" s="105"/>
    </row>
    <row r="555" spans="1:4" ht="23">
      <c r="A555" s="105">
        <v>554</v>
      </c>
      <c r="B555" s="105" t="s">
        <v>2046</v>
      </c>
      <c r="C555" s="105" t="s">
        <v>2047</v>
      </c>
      <c r="D555" s="105"/>
    </row>
    <row r="556" spans="1:4" ht="23">
      <c r="A556" s="105">
        <v>555</v>
      </c>
      <c r="B556" s="105" t="s">
        <v>2048</v>
      </c>
      <c r="C556" s="105" t="s">
        <v>2049</v>
      </c>
      <c r="D556" s="105"/>
    </row>
    <row r="557" spans="1:4" ht="23">
      <c r="A557" s="105">
        <v>556</v>
      </c>
      <c r="B557" s="105" t="s">
        <v>2050</v>
      </c>
      <c r="C557" s="105" t="s">
        <v>2051</v>
      </c>
      <c r="D557" s="105"/>
    </row>
    <row r="558" spans="1:4" ht="23">
      <c r="A558" s="105">
        <v>557</v>
      </c>
      <c r="B558" s="105" t="s">
        <v>2052</v>
      </c>
      <c r="C558" s="105" t="s">
        <v>2053</v>
      </c>
      <c r="D558" s="105"/>
    </row>
    <row r="559" spans="1:4" ht="23">
      <c r="A559" s="105">
        <v>558</v>
      </c>
      <c r="B559" s="105" t="s">
        <v>2054</v>
      </c>
      <c r="C559" s="105" t="s">
        <v>2055</v>
      </c>
      <c r="D559" s="105"/>
    </row>
    <row r="560" spans="1:4" ht="23">
      <c r="A560" s="105">
        <v>559</v>
      </c>
      <c r="B560" s="105" t="s">
        <v>2056</v>
      </c>
      <c r="C560" s="105" t="s">
        <v>2057</v>
      </c>
      <c r="D560" s="105"/>
    </row>
    <row r="561" spans="1:4" ht="23">
      <c r="A561" s="105">
        <v>560</v>
      </c>
      <c r="B561" s="105" t="s">
        <v>2058</v>
      </c>
      <c r="C561" s="105" t="s">
        <v>2059</v>
      </c>
      <c r="D561" s="105"/>
    </row>
    <row r="562" spans="1:4" ht="23">
      <c r="A562" s="105">
        <v>561</v>
      </c>
      <c r="B562" s="105" t="s">
        <v>2060</v>
      </c>
      <c r="C562" s="105" t="s">
        <v>2061</v>
      </c>
      <c r="D562" s="105"/>
    </row>
    <row r="563" spans="1:4" ht="23">
      <c r="A563" s="105">
        <v>562</v>
      </c>
      <c r="B563" s="105" t="s">
        <v>2062</v>
      </c>
      <c r="C563" s="105" t="s">
        <v>2063</v>
      </c>
      <c r="D563" s="105"/>
    </row>
    <row r="564" spans="1:4" ht="23">
      <c r="A564" s="105">
        <v>563</v>
      </c>
      <c r="B564" s="105" t="s">
        <v>2064</v>
      </c>
      <c r="C564" s="105" t="s">
        <v>2065</v>
      </c>
      <c r="D564" s="105"/>
    </row>
    <row r="565" spans="1:4" ht="23">
      <c r="A565" s="105">
        <v>564</v>
      </c>
      <c r="B565" s="105" t="s">
        <v>2066</v>
      </c>
      <c r="C565" s="105" t="s">
        <v>2067</v>
      </c>
      <c r="D565" s="105"/>
    </row>
    <row r="566" spans="1:4" ht="23">
      <c r="A566" s="105">
        <v>565</v>
      </c>
      <c r="B566" s="105" t="s">
        <v>2068</v>
      </c>
      <c r="C566" s="105" t="s">
        <v>2069</v>
      </c>
      <c r="D566" s="105"/>
    </row>
    <row r="567" spans="1:4" ht="23">
      <c r="A567" s="105">
        <v>566</v>
      </c>
      <c r="B567" s="105" t="s">
        <v>2070</v>
      </c>
      <c r="C567" s="105" t="s">
        <v>2071</v>
      </c>
      <c r="D567" s="105"/>
    </row>
    <row r="568" spans="1:4" ht="23">
      <c r="A568" s="105">
        <v>567</v>
      </c>
      <c r="B568" s="105" t="s">
        <v>2072</v>
      </c>
      <c r="C568" s="105" t="s">
        <v>2073</v>
      </c>
      <c r="D568" s="105"/>
    </row>
    <row r="569" spans="1:4" ht="46">
      <c r="A569" s="105">
        <v>568</v>
      </c>
      <c r="B569" s="105" t="s">
        <v>2074</v>
      </c>
      <c r="C569" s="105" t="s">
        <v>2075</v>
      </c>
      <c r="D569" s="105"/>
    </row>
    <row r="570" spans="1:4" ht="23">
      <c r="A570" s="105">
        <v>569</v>
      </c>
      <c r="B570" s="105" t="s">
        <v>2076</v>
      </c>
      <c r="C570" s="105" t="s">
        <v>2077</v>
      </c>
      <c r="D570" s="105"/>
    </row>
    <row r="571" spans="1:4" ht="23">
      <c r="A571" s="105">
        <v>570</v>
      </c>
      <c r="B571" s="105" t="s">
        <v>2078</v>
      </c>
      <c r="C571" s="105" t="s">
        <v>2079</v>
      </c>
      <c r="D571" s="105"/>
    </row>
    <row r="572" spans="1:4" ht="23">
      <c r="A572" s="105">
        <v>571</v>
      </c>
      <c r="B572" s="105" t="s">
        <v>2080</v>
      </c>
      <c r="C572" s="105" t="s">
        <v>2081</v>
      </c>
      <c r="D572" s="105"/>
    </row>
    <row r="573" spans="1:4" ht="69">
      <c r="A573" s="105">
        <v>572</v>
      </c>
      <c r="B573" s="105" t="s">
        <v>2082</v>
      </c>
      <c r="C573" s="105" t="s">
        <v>2083</v>
      </c>
      <c r="D573" s="105"/>
    </row>
    <row r="574" spans="1:4" ht="23">
      <c r="A574" s="105">
        <v>573</v>
      </c>
      <c r="B574" s="105" t="s">
        <v>2084</v>
      </c>
      <c r="C574" s="105" t="s">
        <v>2085</v>
      </c>
      <c r="D574" s="105"/>
    </row>
    <row r="575" spans="1:4" ht="23">
      <c r="A575" s="105">
        <v>574</v>
      </c>
      <c r="B575" s="105" t="s">
        <v>2086</v>
      </c>
      <c r="C575" s="105" t="s">
        <v>2087</v>
      </c>
      <c r="D575" s="105"/>
    </row>
    <row r="576" spans="1:4" ht="23">
      <c r="A576" s="105">
        <v>575</v>
      </c>
      <c r="B576" s="105" t="s">
        <v>2088</v>
      </c>
      <c r="C576" s="105" t="s">
        <v>2089</v>
      </c>
      <c r="D576" s="105"/>
    </row>
    <row r="577" spans="1:4" ht="23">
      <c r="A577" s="105">
        <v>576</v>
      </c>
      <c r="B577" s="105" t="s">
        <v>2090</v>
      </c>
      <c r="C577" s="105" t="s">
        <v>2091</v>
      </c>
      <c r="D577" s="105"/>
    </row>
    <row r="578" spans="1:4" ht="23">
      <c r="A578" s="105">
        <v>577</v>
      </c>
      <c r="B578" s="105" t="s">
        <v>2092</v>
      </c>
      <c r="C578" s="105" t="s">
        <v>2093</v>
      </c>
      <c r="D578" s="105"/>
    </row>
    <row r="579" spans="1:4" ht="23">
      <c r="A579" s="105">
        <v>578</v>
      </c>
      <c r="B579" s="105" t="s">
        <v>2094</v>
      </c>
      <c r="C579" s="105" t="s">
        <v>2095</v>
      </c>
      <c r="D579" s="105"/>
    </row>
    <row r="580" spans="1:4" ht="23">
      <c r="A580" s="105">
        <v>579</v>
      </c>
      <c r="B580" s="105" t="s">
        <v>2096</v>
      </c>
      <c r="C580" s="105" t="s">
        <v>2097</v>
      </c>
      <c r="D580" s="105"/>
    </row>
    <row r="581" spans="1:4" ht="23">
      <c r="A581" s="105">
        <v>580</v>
      </c>
      <c r="B581" s="105" t="s">
        <v>2098</v>
      </c>
      <c r="C581" s="105" t="s">
        <v>2099</v>
      </c>
      <c r="D581" s="105"/>
    </row>
    <row r="582" spans="1:4" ht="23">
      <c r="A582" s="105">
        <v>581</v>
      </c>
      <c r="B582" s="105" t="s">
        <v>2100</v>
      </c>
      <c r="C582" s="105" t="s">
        <v>2101</v>
      </c>
      <c r="D582" s="105"/>
    </row>
    <row r="583" spans="1:4" ht="23">
      <c r="A583" s="105">
        <v>582</v>
      </c>
      <c r="B583" s="105" t="s">
        <v>2102</v>
      </c>
      <c r="C583" s="105" t="s">
        <v>2103</v>
      </c>
      <c r="D583" s="105"/>
    </row>
    <row r="584" spans="1:4" ht="23">
      <c r="A584" s="105">
        <v>583</v>
      </c>
      <c r="B584" s="105" t="s">
        <v>2104</v>
      </c>
      <c r="C584" s="105" t="s">
        <v>2105</v>
      </c>
      <c r="D584" s="105"/>
    </row>
    <row r="585" spans="1:4" ht="23">
      <c r="A585" s="105">
        <v>584</v>
      </c>
      <c r="B585" s="105" t="s">
        <v>2106</v>
      </c>
      <c r="C585" s="105" t="s">
        <v>2107</v>
      </c>
      <c r="D585" s="105"/>
    </row>
    <row r="586" spans="1:4" ht="23">
      <c r="A586" s="105">
        <v>585</v>
      </c>
      <c r="B586" s="105" t="s">
        <v>2108</v>
      </c>
      <c r="C586" s="105" t="s">
        <v>2109</v>
      </c>
      <c r="D586" s="105"/>
    </row>
    <row r="587" spans="1:4" ht="23">
      <c r="A587" s="105">
        <v>586</v>
      </c>
      <c r="B587" s="105" t="s">
        <v>2110</v>
      </c>
      <c r="C587" s="105" t="s">
        <v>2111</v>
      </c>
      <c r="D587" s="105"/>
    </row>
    <row r="588" spans="1:4" ht="23">
      <c r="A588" s="105">
        <v>587</v>
      </c>
      <c r="B588" s="105" t="s">
        <v>2112</v>
      </c>
      <c r="C588" s="105" t="s">
        <v>2113</v>
      </c>
      <c r="D588" s="105"/>
    </row>
    <row r="589" spans="1:4" ht="23">
      <c r="A589" s="105">
        <v>588</v>
      </c>
      <c r="B589" s="105" t="s">
        <v>2114</v>
      </c>
      <c r="C589" s="105" t="s">
        <v>2115</v>
      </c>
      <c r="D589" s="105"/>
    </row>
    <row r="590" spans="1:4" ht="23">
      <c r="A590" s="105">
        <v>589</v>
      </c>
      <c r="B590" s="105" t="s">
        <v>2116</v>
      </c>
      <c r="C590" s="105" t="s">
        <v>2117</v>
      </c>
      <c r="D590" s="105"/>
    </row>
    <row r="591" spans="1:4" ht="23">
      <c r="A591" s="105">
        <v>590</v>
      </c>
      <c r="B591" s="105" t="s">
        <v>2118</v>
      </c>
      <c r="C591" s="105" t="s">
        <v>2119</v>
      </c>
      <c r="D591" s="105"/>
    </row>
    <row r="592" spans="1:4" ht="23">
      <c r="A592" s="105">
        <v>591</v>
      </c>
      <c r="B592" s="105" t="s">
        <v>2120</v>
      </c>
      <c r="C592" s="105" t="s">
        <v>2121</v>
      </c>
      <c r="D592" s="105"/>
    </row>
    <row r="593" spans="1:4" ht="23">
      <c r="A593" s="105">
        <v>592</v>
      </c>
      <c r="B593" s="105" t="s">
        <v>2122</v>
      </c>
      <c r="C593" s="105" t="s">
        <v>2123</v>
      </c>
      <c r="D593" s="105"/>
    </row>
    <row r="594" spans="1:4" ht="23">
      <c r="A594" s="105">
        <v>593</v>
      </c>
      <c r="B594" s="105" t="s">
        <v>2124</v>
      </c>
      <c r="C594" s="105" t="s">
        <v>2125</v>
      </c>
      <c r="D594" s="105"/>
    </row>
    <row r="595" spans="1:4" ht="23">
      <c r="A595" s="105">
        <v>594</v>
      </c>
      <c r="B595" s="105" t="s">
        <v>2126</v>
      </c>
      <c r="C595" s="105" t="s">
        <v>2127</v>
      </c>
      <c r="D595" s="105"/>
    </row>
    <row r="596" spans="1:4" ht="23">
      <c r="A596" s="105">
        <v>595</v>
      </c>
      <c r="B596" s="105" t="s">
        <v>2128</v>
      </c>
      <c r="C596" s="105" t="s">
        <v>2129</v>
      </c>
      <c r="D596" s="105"/>
    </row>
    <row r="597" spans="1:4" ht="23">
      <c r="A597" s="105">
        <v>596</v>
      </c>
      <c r="B597" s="105" t="s">
        <v>2130</v>
      </c>
      <c r="C597" s="105" t="s">
        <v>2131</v>
      </c>
      <c r="D597" s="105"/>
    </row>
    <row r="598" spans="1:4" ht="23">
      <c r="A598" s="105">
        <v>597</v>
      </c>
      <c r="B598" s="105" t="s">
        <v>2132</v>
      </c>
      <c r="C598" s="105" t="s">
        <v>2133</v>
      </c>
      <c r="D598" s="105"/>
    </row>
    <row r="599" spans="1:4" ht="46">
      <c r="A599" s="105">
        <v>598</v>
      </c>
      <c r="B599" s="105" t="s">
        <v>2134</v>
      </c>
      <c r="C599" s="105" t="s">
        <v>2135</v>
      </c>
      <c r="D599" s="105"/>
    </row>
    <row r="600" spans="1:4" ht="23">
      <c r="A600" s="105">
        <v>599</v>
      </c>
      <c r="B600" s="105" t="s">
        <v>2136</v>
      </c>
      <c r="C600" s="105" t="s">
        <v>2137</v>
      </c>
      <c r="D600" s="105"/>
    </row>
    <row r="601" spans="1:4" ht="23">
      <c r="A601" s="105">
        <v>600</v>
      </c>
      <c r="B601" s="105" t="s">
        <v>2138</v>
      </c>
      <c r="C601" s="105" t="s">
        <v>2139</v>
      </c>
      <c r="D601" s="105"/>
    </row>
    <row r="602" spans="1:4" ht="23">
      <c r="A602" s="105">
        <v>601</v>
      </c>
      <c r="B602" s="105" t="s">
        <v>2140</v>
      </c>
      <c r="C602" s="105" t="s">
        <v>2141</v>
      </c>
      <c r="D602" s="105"/>
    </row>
    <row r="603" spans="1:4" ht="23">
      <c r="A603" s="105">
        <v>602</v>
      </c>
      <c r="B603" s="105" t="s">
        <v>2142</v>
      </c>
      <c r="C603" s="105" t="s">
        <v>2143</v>
      </c>
      <c r="D603" s="105"/>
    </row>
    <row r="604" spans="1:4" ht="92">
      <c r="A604" s="105">
        <v>603</v>
      </c>
      <c r="B604" s="105" t="s">
        <v>2144</v>
      </c>
      <c r="C604" s="105" t="s">
        <v>2145</v>
      </c>
      <c r="D604" s="105"/>
    </row>
    <row r="605" spans="1:4" ht="23">
      <c r="A605" s="105">
        <v>604</v>
      </c>
      <c r="B605" s="105" t="s">
        <v>2146</v>
      </c>
      <c r="C605" s="105" t="s">
        <v>2147</v>
      </c>
      <c r="D605" s="105"/>
    </row>
    <row r="606" spans="1:4" ht="23">
      <c r="A606" s="105">
        <v>605</v>
      </c>
      <c r="B606" s="105" t="s">
        <v>1448</v>
      </c>
      <c r="C606" s="105" t="s">
        <v>1449</v>
      </c>
      <c r="D606" s="105"/>
    </row>
    <row r="607" spans="1:4" ht="23">
      <c r="A607" s="105">
        <v>606</v>
      </c>
      <c r="B607" s="105" t="s">
        <v>2148</v>
      </c>
      <c r="C607" s="105" t="s">
        <v>2149</v>
      </c>
      <c r="D607" s="105"/>
    </row>
    <row r="608" spans="1:4" ht="23">
      <c r="A608" s="105">
        <v>607</v>
      </c>
      <c r="B608" s="105" t="s">
        <v>2150</v>
      </c>
      <c r="C608" s="105" t="s">
        <v>2151</v>
      </c>
      <c r="D608" s="105"/>
    </row>
    <row r="609" spans="1:4" ht="23">
      <c r="A609" s="105">
        <v>608</v>
      </c>
      <c r="B609" s="105" t="s">
        <v>2152</v>
      </c>
      <c r="C609" s="105" t="s">
        <v>2053</v>
      </c>
      <c r="D609" s="105"/>
    </row>
    <row r="610" spans="1:4" ht="23">
      <c r="A610" s="105">
        <v>609</v>
      </c>
      <c r="B610" s="105" t="s">
        <v>2153</v>
      </c>
      <c r="C610" s="105" t="s">
        <v>2154</v>
      </c>
      <c r="D610" s="105"/>
    </row>
    <row r="611" spans="1:4" ht="23">
      <c r="A611" s="105">
        <v>610</v>
      </c>
      <c r="B611" s="105" t="s">
        <v>2155</v>
      </c>
      <c r="C611" s="105" t="s">
        <v>2156</v>
      </c>
      <c r="D611" s="105"/>
    </row>
    <row r="612" spans="1:4" ht="23">
      <c r="A612" s="105">
        <v>611</v>
      </c>
      <c r="B612" s="105" t="s">
        <v>2157</v>
      </c>
      <c r="C612" s="105" t="s">
        <v>2158</v>
      </c>
      <c r="D612" s="105"/>
    </row>
    <row r="613" spans="1:4" ht="23">
      <c r="A613" s="105">
        <v>612</v>
      </c>
      <c r="B613" s="105" t="s">
        <v>2159</v>
      </c>
      <c r="C613" s="105" t="s">
        <v>2160</v>
      </c>
      <c r="D613" s="105"/>
    </row>
    <row r="614" spans="1:4" ht="23">
      <c r="A614" s="105">
        <v>613</v>
      </c>
      <c r="B614" s="105" t="s">
        <v>2161</v>
      </c>
      <c r="C614" s="105" t="s">
        <v>2162</v>
      </c>
      <c r="D614" s="105"/>
    </row>
    <row r="615" spans="1:4" ht="46">
      <c r="A615" s="105">
        <v>614</v>
      </c>
      <c r="B615" s="105" t="s">
        <v>2163</v>
      </c>
      <c r="C615" s="105" t="s">
        <v>2164</v>
      </c>
      <c r="D615" s="105"/>
    </row>
    <row r="616" spans="1:4" ht="23">
      <c r="A616" s="105">
        <v>615</v>
      </c>
      <c r="B616" s="105" t="s">
        <v>2165</v>
      </c>
      <c r="C616" s="105" t="s">
        <v>2166</v>
      </c>
      <c r="D616" s="105"/>
    </row>
    <row r="617" spans="1:4" ht="46">
      <c r="A617" s="105">
        <v>616</v>
      </c>
      <c r="B617" s="105" t="s">
        <v>2167</v>
      </c>
      <c r="C617" s="105" t="s">
        <v>2168</v>
      </c>
      <c r="D617" s="105"/>
    </row>
    <row r="618" spans="1:4" ht="23">
      <c r="A618" s="105">
        <v>617</v>
      </c>
      <c r="B618" s="105" t="s">
        <v>2169</v>
      </c>
      <c r="C618" s="105" t="s">
        <v>2170</v>
      </c>
      <c r="D618" s="105"/>
    </row>
    <row r="619" spans="1:4" ht="23">
      <c r="A619" s="105">
        <v>618</v>
      </c>
      <c r="B619" s="105" t="s">
        <v>2171</v>
      </c>
      <c r="C619" s="105" t="s">
        <v>2172</v>
      </c>
      <c r="D619" s="105"/>
    </row>
    <row r="620" spans="1:4" ht="23">
      <c r="A620" s="105">
        <v>619</v>
      </c>
      <c r="B620" s="105" t="s">
        <v>2173</v>
      </c>
      <c r="C620" s="105" t="s">
        <v>2174</v>
      </c>
      <c r="D620" s="105"/>
    </row>
    <row r="621" spans="1:4" ht="23">
      <c r="A621" s="105">
        <v>620</v>
      </c>
      <c r="B621" s="105" t="s">
        <v>2175</v>
      </c>
      <c r="C621" s="105" t="s">
        <v>2176</v>
      </c>
      <c r="D621" s="105"/>
    </row>
    <row r="622" spans="1:4" ht="23">
      <c r="A622" s="105">
        <v>621</v>
      </c>
      <c r="B622" s="105" t="s">
        <v>2177</v>
      </c>
      <c r="C622" s="105" t="s">
        <v>2178</v>
      </c>
      <c r="D622" s="105"/>
    </row>
    <row r="623" spans="1:4" ht="23">
      <c r="A623" s="105">
        <v>622</v>
      </c>
      <c r="B623" s="105" t="s">
        <v>2179</v>
      </c>
      <c r="C623" s="105" t="s">
        <v>2180</v>
      </c>
      <c r="D623" s="105"/>
    </row>
    <row r="624" spans="1:4" ht="23">
      <c r="A624" s="105">
        <v>623</v>
      </c>
      <c r="B624" s="105" t="s">
        <v>2181</v>
      </c>
      <c r="C624" s="105" t="s">
        <v>2182</v>
      </c>
      <c r="D624" s="105"/>
    </row>
    <row r="625" spans="1:4" ht="23">
      <c r="A625" s="105">
        <v>624</v>
      </c>
      <c r="B625" s="105" t="s">
        <v>2183</v>
      </c>
      <c r="C625" s="105" t="s">
        <v>2184</v>
      </c>
      <c r="D625" s="105"/>
    </row>
    <row r="626" spans="1:4" ht="23">
      <c r="A626" s="105">
        <v>625</v>
      </c>
      <c r="B626" s="105" t="s">
        <v>2185</v>
      </c>
      <c r="C626" s="105" t="s">
        <v>2186</v>
      </c>
      <c r="D626" s="105"/>
    </row>
    <row r="627" spans="1:4" ht="23">
      <c r="A627" s="105">
        <v>626</v>
      </c>
      <c r="B627" s="105" t="s">
        <v>2187</v>
      </c>
      <c r="C627" s="105" t="s">
        <v>2188</v>
      </c>
      <c r="D627" s="105"/>
    </row>
    <row r="628" spans="1:4" ht="23">
      <c r="A628" s="105">
        <v>627</v>
      </c>
      <c r="B628" s="105" t="s">
        <v>2189</v>
      </c>
      <c r="C628" s="105" t="s">
        <v>2190</v>
      </c>
      <c r="D628" s="105"/>
    </row>
    <row r="629" spans="1:4" ht="69">
      <c r="A629" s="105">
        <v>628</v>
      </c>
      <c r="B629" s="105" t="s">
        <v>2191</v>
      </c>
      <c r="C629" s="105" t="s">
        <v>2192</v>
      </c>
      <c r="D629" s="105"/>
    </row>
    <row r="630" spans="1:4" ht="23">
      <c r="A630" s="105">
        <v>629</v>
      </c>
      <c r="B630" s="105" t="s">
        <v>2193</v>
      </c>
      <c r="C630" s="105" t="s">
        <v>2194</v>
      </c>
      <c r="D630" s="105"/>
    </row>
    <row r="631" spans="1:4" ht="23">
      <c r="A631" s="105">
        <v>630</v>
      </c>
      <c r="B631" s="105" t="s">
        <v>2195</v>
      </c>
      <c r="C631" s="105" t="s">
        <v>2196</v>
      </c>
      <c r="D631" s="105"/>
    </row>
    <row r="632" spans="1:4" ht="23">
      <c r="A632" s="105">
        <v>631</v>
      </c>
      <c r="B632" s="105" t="s">
        <v>2197</v>
      </c>
      <c r="C632" s="105" t="s">
        <v>2198</v>
      </c>
      <c r="D632" s="105"/>
    </row>
    <row r="633" spans="1:4" ht="23">
      <c r="A633" s="105">
        <v>632</v>
      </c>
      <c r="B633" s="105" t="s">
        <v>2199</v>
      </c>
      <c r="C633" s="105" t="s">
        <v>2200</v>
      </c>
      <c r="D633" s="105"/>
    </row>
    <row r="634" spans="1:4" ht="23">
      <c r="A634" s="105">
        <v>633</v>
      </c>
      <c r="B634" s="105" t="s">
        <v>2201</v>
      </c>
      <c r="C634" s="105" t="s">
        <v>2202</v>
      </c>
      <c r="D634" s="105"/>
    </row>
    <row r="635" spans="1:4" ht="23">
      <c r="A635" s="105">
        <v>634</v>
      </c>
      <c r="B635" s="105" t="s">
        <v>2203</v>
      </c>
      <c r="C635" s="105" t="s">
        <v>2204</v>
      </c>
      <c r="D635" s="105"/>
    </row>
    <row r="636" spans="1:4" ht="23">
      <c r="A636" s="105">
        <v>635</v>
      </c>
      <c r="B636" s="105" t="s">
        <v>2205</v>
      </c>
      <c r="C636" s="105" t="s">
        <v>2206</v>
      </c>
      <c r="D636" s="105"/>
    </row>
    <row r="637" spans="1:4" ht="23">
      <c r="A637" s="105">
        <v>636</v>
      </c>
      <c r="B637" s="105" t="s">
        <v>2207</v>
      </c>
      <c r="C637" s="105" t="s">
        <v>2208</v>
      </c>
      <c r="D637" s="105"/>
    </row>
    <row r="638" spans="1:4" ht="23">
      <c r="A638" s="105">
        <v>637</v>
      </c>
      <c r="B638" s="105" t="s">
        <v>2209</v>
      </c>
      <c r="C638" s="105" t="s">
        <v>2210</v>
      </c>
      <c r="D638" s="105"/>
    </row>
    <row r="639" spans="1:4" ht="23">
      <c r="A639" s="105">
        <v>638</v>
      </c>
      <c r="B639" s="105" t="s">
        <v>2212</v>
      </c>
      <c r="C639" s="105" t="s">
        <v>2213</v>
      </c>
      <c r="D639" s="105"/>
    </row>
    <row r="640" spans="1:4" ht="23">
      <c r="A640" s="105">
        <v>639</v>
      </c>
      <c r="B640" s="105" t="s">
        <v>2214</v>
      </c>
      <c r="C640" s="105" t="s">
        <v>2215</v>
      </c>
      <c r="D640" s="105"/>
    </row>
    <row r="641" spans="1:4" ht="23">
      <c r="A641" s="105">
        <v>640</v>
      </c>
      <c r="B641" s="105" t="s">
        <v>2216</v>
      </c>
      <c r="C641" s="105" t="s">
        <v>2217</v>
      </c>
      <c r="D641" s="105"/>
    </row>
    <row r="642" spans="1:4" ht="138">
      <c r="A642" s="105">
        <v>641</v>
      </c>
      <c r="B642" s="105" t="s">
        <v>2218</v>
      </c>
      <c r="C642" s="105" t="s">
        <v>2219</v>
      </c>
      <c r="D642" s="105"/>
    </row>
    <row r="643" spans="1:4" ht="23">
      <c r="A643" s="105">
        <v>642</v>
      </c>
      <c r="B643" s="105" t="s">
        <v>2220</v>
      </c>
      <c r="C643" s="105" t="s">
        <v>2221</v>
      </c>
      <c r="D643" s="105"/>
    </row>
    <row r="644" spans="1:4" ht="23">
      <c r="A644" s="105">
        <v>643</v>
      </c>
      <c r="B644" s="105" t="s">
        <v>2222</v>
      </c>
      <c r="C644" s="105" t="s">
        <v>2223</v>
      </c>
      <c r="D644" s="105"/>
    </row>
    <row r="645" spans="1:4" ht="23">
      <c r="A645" s="105">
        <v>644</v>
      </c>
      <c r="B645" s="105" t="s">
        <v>2224</v>
      </c>
      <c r="C645" s="105" t="s">
        <v>2225</v>
      </c>
      <c r="D645" s="105"/>
    </row>
    <row r="646" spans="1:4" ht="23">
      <c r="A646" s="105">
        <v>645</v>
      </c>
      <c r="B646" s="105" t="s">
        <v>2226</v>
      </c>
      <c r="C646" s="105" t="s">
        <v>2227</v>
      </c>
      <c r="D646" s="105"/>
    </row>
    <row r="647" spans="1:4" ht="23">
      <c r="A647" s="105">
        <v>646</v>
      </c>
      <c r="B647" s="105" t="s">
        <v>2228</v>
      </c>
      <c r="C647" s="105" t="s">
        <v>2229</v>
      </c>
      <c r="D647" s="105"/>
    </row>
    <row r="648" spans="1:4" ht="23">
      <c r="A648" s="105">
        <v>647</v>
      </c>
      <c r="B648" s="105" t="s">
        <v>2230</v>
      </c>
      <c r="C648" s="105" t="s">
        <v>2231</v>
      </c>
      <c r="D648" s="105"/>
    </row>
    <row r="649" spans="1:4" ht="23">
      <c r="A649" s="105">
        <v>648</v>
      </c>
      <c r="B649" s="105" t="s">
        <v>2232</v>
      </c>
      <c r="C649" s="105" t="s">
        <v>2233</v>
      </c>
      <c r="D649" s="105"/>
    </row>
    <row r="650" spans="1:4" ht="23">
      <c r="A650" s="105">
        <v>649</v>
      </c>
      <c r="B650" s="105" t="s">
        <v>2234</v>
      </c>
      <c r="C650" s="105" t="s">
        <v>2235</v>
      </c>
      <c r="D650" s="105"/>
    </row>
    <row r="651" spans="1:4" ht="23">
      <c r="A651" s="105">
        <v>650</v>
      </c>
      <c r="B651" s="105" t="s">
        <v>2236</v>
      </c>
      <c r="C651" s="105" t="s">
        <v>2237</v>
      </c>
      <c r="D651" s="105"/>
    </row>
    <row r="652" spans="1:4" ht="23">
      <c r="A652" s="105">
        <v>651</v>
      </c>
      <c r="B652" s="105" t="s">
        <v>2238</v>
      </c>
      <c r="C652" s="105" t="s">
        <v>2239</v>
      </c>
      <c r="D652" s="105"/>
    </row>
    <row r="653" spans="1:4" ht="23">
      <c r="A653" s="105">
        <v>652</v>
      </c>
      <c r="B653" s="105" t="s">
        <v>2240</v>
      </c>
      <c r="C653" s="105" t="s">
        <v>2241</v>
      </c>
      <c r="D653" s="105"/>
    </row>
    <row r="654" spans="1:4" ht="23">
      <c r="A654" s="105">
        <v>653</v>
      </c>
      <c r="B654" s="105" t="s">
        <v>2242</v>
      </c>
      <c r="C654" s="105" t="s">
        <v>2243</v>
      </c>
      <c r="D654" s="105"/>
    </row>
    <row r="655" spans="1:4" ht="92">
      <c r="A655" s="105">
        <v>654</v>
      </c>
      <c r="B655" s="105" t="s">
        <v>2244</v>
      </c>
      <c r="C655" s="105" t="s">
        <v>2245</v>
      </c>
      <c r="D655" s="105"/>
    </row>
    <row r="656" spans="1:4" ht="23">
      <c r="A656" s="105">
        <v>655</v>
      </c>
      <c r="B656" s="105" t="s">
        <v>2246</v>
      </c>
      <c r="C656" s="105" t="s">
        <v>2247</v>
      </c>
      <c r="D656" s="105"/>
    </row>
    <row r="657" spans="1:4" ht="23">
      <c r="A657" s="105">
        <v>656</v>
      </c>
      <c r="B657" s="105" t="s">
        <v>2248</v>
      </c>
      <c r="C657" s="105" t="s">
        <v>2249</v>
      </c>
      <c r="D657" s="105"/>
    </row>
    <row r="658" spans="1:4" ht="23">
      <c r="A658" s="105">
        <v>657</v>
      </c>
      <c r="B658" s="105" t="s">
        <v>2250</v>
      </c>
      <c r="C658" s="105" t="s">
        <v>2251</v>
      </c>
      <c r="D658" s="105"/>
    </row>
    <row r="659" spans="1:4" ht="23">
      <c r="A659" s="105">
        <v>658</v>
      </c>
      <c r="B659" s="105" t="s">
        <v>2252</v>
      </c>
      <c r="C659" s="105" t="s">
        <v>2253</v>
      </c>
      <c r="D659" s="105"/>
    </row>
    <row r="660" spans="1:4" ht="23">
      <c r="A660" s="105">
        <v>659</v>
      </c>
      <c r="B660" s="105" t="s">
        <v>2254</v>
      </c>
      <c r="C660" s="105" t="s">
        <v>2255</v>
      </c>
      <c r="D660" s="105"/>
    </row>
    <row r="661" spans="1:4" ht="23">
      <c r="A661" s="105">
        <v>660</v>
      </c>
      <c r="B661" s="105" t="s">
        <v>2256</v>
      </c>
      <c r="C661" s="105" t="s">
        <v>2257</v>
      </c>
      <c r="D661" s="105"/>
    </row>
    <row r="662" spans="1:4" ht="23">
      <c r="A662" s="105">
        <v>661</v>
      </c>
      <c r="B662" s="105" t="s">
        <v>2258</v>
      </c>
      <c r="C662" s="105" t="s">
        <v>2259</v>
      </c>
      <c r="D662" s="105"/>
    </row>
    <row r="663" spans="1:4" ht="23">
      <c r="A663" s="105">
        <v>662</v>
      </c>
      <c r="B663" s="105" t="s">
        <v>2260</v>
      </c>
      <c r="C663" s="105" t="s">
        <v>2261</v>
      </c>
      <c r="D663" s="105"/>
    </row>
    <row r="664" spans="1:4" ht="46">
      <c r="A664" s="105">
        <v>663</v>
      </c>
      <c r="B664" s="105" t="s">
        <v>2262</v>
      </c>
      <c r="C664" s="105" t="s">
        <v>2263</v>
      </c>
      <c r="D664" s="105"/>
    </row>
    <row r="665" spans="1:4" ht="23">
      <c r="A665" s="105">
        <v>664</v>
      </c>
      <c r="B665" s="105" t="s">
        <v>2264</v>
      </c>
      <c r="C665" s="105" t="s">
        <v>2265</v>
      </c>
      <c r="D665" s="105"/>
    </row>
    <row r="666" spans="1:4" ht="23">
      <c r="A666" s="105">
        <v>665</v>
      </c>
      <c r="B666" s="105" t="s">
        <v>2266</v>
      </c>
      <c r="C666" s="105" t="s">
        <v>2267</v>
      </c>
      <c r="D666" s="105"/>
    </row>
    <row r="667" spans="1:4" ht="23">
      <c r="A667" s="105">
        <v>666</v>
      </c>
      <c r="B667" s="105" t="s">
        <v>2268</v>
      </c>
      <c r="C667" s="105" t="s">
        <v>2269</v>
      </c>
      <c r="D667" s="105"/>
    </row>
    <row r="668" spans="1:4" ht="23">
      <c r="A668" s="105">
        <v>667</v>
      </c>
      <c r="B668" s="105" t="s">
        <v>2270</v>
      </c>
      <c r="C668" s="105" t="s">
        <v>2271</v>
      </c>
      <c r="D668" s="105"/>
    </row>
    <row r="669" spans="1:4" ht="23">
      <c r="A669" s="105">
        <v>668</v>
      </c>
      <c r="B669" s="105" t="s">
        <v>2272</v>
      </c>
      <c r="C669" s="105" t="s">
        <v>2273</v>
      </c>
      <c r="D669" s="105"/>
    </row>
    <row r="670" spans="1:4" ht="46">
      <c r="A670" s="105">
        <v>669</v>
      </c>
      <c r="B670" s="105" t="s">
        <v>2274</v>
      </c>
      <c r="C670" s="105" t="s">
        <v>2275</v>
      </c>
      <c r="D670" s="105"/>
    </row>
    <row r="671" spans="1:4" ht="23">
      <c r="A671" s="105">
        <v>670</v>
      </c>
      <c r="B671" s="105" t="s">
        <v>2276</v>
      </c>
      <c r="C671" s="105" t="s">
        <v>2277</v>
      </c>
      <c r="D671" s="105"/>
    </row>
    <row r="672" spans="1:4" ht="23">
      <c r="A672" s="105">
        <v>671</v>
      </c>
      <c r="B672" s="105" t="s">
        <v>2278</v>
      </c>
      <c r="C672" s="105" t="s">
        <v>2279</v>
      </c>
      <c r="D672" s="105"/>
    </row>
    <row r="673" spans="1:4" ht="23">
      <c r="A673" s="105">
        <v>672</v>
      </c>
      <c r="B673" s="105" t="s">
        <v>2280</v>
      </c>
      <c r="C673" s="105" t="s">
        <v>4060</v>
      </c>
      <c r="D673" s="105"/>
    </row>
    <row r="674" spans="1:4" ht="23">
      <c r="A674" s="105">
        <v>673</v>
      </c>
      <c r="B674" s="105" t="s">
        <v>2281</v>
      </c>
      <c r="C674" s="105" t="s">
        <v>2282</v>
      </c>
      <c r="D674" s="105"/>
    </row>
    <row r="675" spans="1:4" ht="23">
      <c r="A675" s="105">
        <v>674</v>
      </c>
      <c r="B675" s="105" t="s">
        <v>2283</v>
      </c>
      <c r="C675" s="105" t="s">
        <v>2284</v>
      </c>
      <c r="D675" s="105"/>
    </row>
    <row r="676" spans="1:4" ht="23">
      <c r="A676" s="105">
        <v>675</v>
      </c>
      <c r="B676" s="105" t="s">
        <v>2285</v>
      </c>
      <c r="C676" s="105" t="s">
        <v>2286</v>
      </c>
      <c r="D676" s="105"/>
    </row>
    <row r="677" spans="1:4" ht="23">
      <c r="A677" s="105">
        <v>676</v>
      </c>
      <c r="B677" s="105" t="s">
        <v>2287</v>
      </c>
      <c r="C677" s="105" t="s">
        <v>2288</v>
      </c>
      <c r="D677" s="105"/>
    </row>
    <row r="678" spans="1:4" ht="23">
      <c r="A678" s="105">
        <v>677</v>
      </c>
      <c r="B678" s="105" t="s">
        <v>2289</v>
      </c>
      <c r="C678" s="105" t="s">
        <v>2290</v>
      </c>
      <c r="D678" s="105"/>
    </row>
    <row r="679" spans="1:4" ht="23">
      <c r="A679" s="105">
        <v>678</v>
      </c>
      <c r="B679" s="105" t="s">
        <v>2291</v>
      </c>
      <c r="C679" s="105" t="s">
        <v>2292</v>
      </c>
      <c r="D679" s="105"/>
    </row>
    <row r="680" spans="1:4" ht="23">
      <c r="A680" s="105">
        <v>679</v>
      </c>
      <c r="B680" s="105" t="s">
        <v>2293</v>
      </c>
      <c r="C680" s="105" t="s">
        <v>2294</v>
      </c>
      <c r="D680" s="105"/>
    </row>
    <row r="681" spans="1:4" ht="23">
      <c r="A681" s="105">
        <v>680</v>
      </c>
      <c r="B681" s="105" t="s">
        <v>2295</v>
      </c>
      <c r="C681" s="105" t="s">
        <v>2296</v>
      </c>
      <c r="D681" s="105"/>
    </row>
    <row r="682" spans="1:4" ht="23">
      <c r="A682" s="105">
        <v>681</v>
      </c>
      <c r="B682" s="105" t="s">
        <v>2297</v>
      </c>
      <c r="C682" s="105" t="s">
        <v>2298</v>
      </c>
      <c r="D682" s="105"/>
    </row>
    <row r="683" spans="1:4" ht="23">
      <c r="A683" s="105">
        <v>682</v>
      </c>
      <c r="B683" s="105" t="s">
        <v>2299</v>
      </c>
      <c r="C683" s="105" t="s">
        <v>2300</v>
      </c>
      <c r="D683" s="105"/>
    </row>
    <row r="684" spans="1:4" ht="23">
      <c r="A684" s="105">
        <v>683</v>
      </c>
      <c r="B684" s="105" t="s">
        <v>2301</v>
      </c>
      <c r="C684" s="105" t="s">
        <v>2302</v>
      </c>
      <c r="D684" s="105"/>
    </row>
    <row r="685" spans="1:4" ht="23">
      <c r="A685" s="105">
        <v>684</v>
      </c>
      <c r="B685" s="105" t="s">
        <v>2303</v>
      </c>
      <c r="C685" s="105" t="s">
        <v>2304</v>
      </c>
      <c r="D685" s="105"/>
    </row>
    <row r="686" spans="1:4" ht="23">
      <c r="A686" s="105">
        <v>685</v>
      </c>
      <c r="B686" s="105" t="s">
        <v>2305</v>
      </c>
      <c r="C686" s="105" t="s">
        <v>2306</v>
      </c>
      <c r="D686" s="105"/>
    </row>
    <row r="687" spans="1:4" ht="23">
      <c r="A687" s="105">
        <v>686</v>
      </c>
      <c r="B687" s="105" t="s">
        <v>2307</v>
      </c>
      <c r="C687" s="105" t="s">
        <v>2308</v>
      </c>
      <c r="D687" s="105"/>
    </row>
    <row r="688" spans="1:4" ht="23">
      <c r="A688" s="105">
        <v>687</v>
      </c>
      <c r="B688" s="105" t="s">
        <v>2309</v>
      </c>
      <c r="C688" s="105" t="s">
        <v>2310</v>
      </c>
      <c r="D688" s="105"/>
    </row>
    <row r="689" spans="1:4" ht="23">
      <c r="A689" s="105">
        <v>688</v>
      </c>
      <c r="B689" s="105" t="s">
        <v>2311</v>
      </c>
      <c r="C689" s="105" t="s">
        <v>2312</v>
      </c>
      <c r="D689" s="105"/>
    </row>
    <row r="690" spans="1:4" ht="46">
      <c r="A690" s="105">
        <v>689</v>
      </c>
      <c r="B690" s="105" t="s">
        <v>2313</v>
      </c>
      <c r="C690" s="105" t="s">
        <v>2314</v>
      </c>
      <c r="D690" s="105"/>
    </row>
    <row r="691" spans="1:4" ht="23">
      <c r="A691" s="105">
        <v>690</v>
      </c>
      <c r="B691" s="105" t="s">
        <v>2315</v>
      </c>
      <c r="C691" s="105" t="s">
        <v>2316</v>
      </c>
      <c r="D691" s="105"/>
    </row>
    <row r="692" spans="1:4" ht="23">
      <c r="A692" s="105">
        <v>691</v>
      </c>
      <c r="B692" s="105" t="s">
        <v>2317</v>
      </c>
      <c r="C692" s="105" t="s">
        <v>2318</v>
      </c>
      <c r="D692" s="105"/>
    </row>
    <row r="693" spans="1:4" ht="46">
      <c r="A693" s="105">
        <v>692</v>
      </c>
      <c r="B693" s="105" t="s">
        <v>2319</v>
      </c>
      <c r="C693" s="105" t="s">
        <v>2320</v>
      </c>
      <c r="D693" s="105"/>
    </row>
    <row r="694" spans="1:4" ht="23">
      <c r="A694" s="105">
        <v>693</v>
      </c>
      <c r="B694" s="105" t="s">
        <v>2321</v>
      </c>
      <c r="C694" s="105" t="s">
        <v>2322</v>
      </c>
      <c r="D694" s="105"/>
    </row>
    <row r="695" spans="1:4" ht="70">
      <c r="A695" s="105">
        <v>694</v>
      </c>
      <c r="B695" s="105" t="s">
        <v>2323</v>
      </c>
      <c r="C695" s="105" t="s">
        <v>4061</v>
      </c>
      <c r="D695" s="105"/>
    </row>
    <row r="696" spans="1:4" ht="23">
      <c r="A696" s="105">
        <v>695</v>
      </c>
      <c r="B696" s="105" t="s">
        <v>2324</v>
      </c>
      <c r="C696" s="105" t="s">
        <v>2325</v>
      </c>
      <c r="D696" s="105"/>
    </row>
    <row r="697" spans="1:4" ht="23">
      <c r="A697" s="105">
        <v>696</v>
      </c>
      <c r="B697" s="105" t="s">
        <v>2326</v>
      </c>
      <c r="C697" s="105" t="s">
        <v>2327</v>
      </c>
      <c r="D697" s="105"/>
    </row>
    <row r="698" spans="1:4" ht="23">
      <c r="A698" s="105">
        <v>697</v>
      </c>
      <c r="B698" s="105" t="s">
        <v>2328</v>
      </c>
      <c r="C698" s="105" t="s">
        <v>2329</v>
      </c>
      <c r="D698" s="105"/>
    </row>
    <row r="699" spans="1:4" ht="23">
      <c r="A699" s="105">
        <v>698</v>
      </c>
      <c r="B699" s="105" t="s">
        <v>2330</v>
      </c>
      <c r="C699" s="105" t="s">
        <v>2331</v>
      </c>
      <c r="D699" s="105"/>
    </row>
    <row r="700" spans="1:4" ht="46">
      <c r="A700" s="105">
        <v>699</v>
      </c>
      <c r="B700" s="105" t="s">
        <v>2332</v>
      </c>
      <c r="C700" s="105" t="s">
        <v>2333</v>
      </c>
      <c r="D700" s="105"/>
    </row>
    <row r="701" spans="1:4" ht="69">
      <c r="A701" s="105">
        <v>700</v>
      </c>
      <c r="B701" s="105" t="s">
        <v>2334</v>
      </c>
      <c r="C701" s="105" t="s">
        <v>2335</v>
      </c>
      <c r="D701" s="105"/>
    </row>
    <row r="702" spans="1:4" ht="23">
      <c r="A702" s="105">
        <v>701</v>
      </c>
      <c r="B702" s="105" t="s">
        <v>2336</v>
      </c>
      <c r="C702" s="105" t="s">
        <v>2337</v>
      </c>
      <c r="D702" s="105"/>
    </row>
    <row r="703" spans="1:4" ht="23">
      <c r="A703" s="105">
        <v>702</v>
      </c>
      <c r="B703" s="105" t="s">
        <v>2338</v>
      </c>
      <c r="C703" s="105" t="s">
        <v>2339</v>
      </c>
      <c r="D703" s="105"/>
    </row>
    <row r="704" spans="1:4" ht="23">
      <c r="A704" s="105">
        <v>703</v>
      </c>
      <c r="B704" s="105" t="s">
        <v>2340</v>
      </c>
      <c r="C704" s="105" t="s">
        <v>2341</v>
      </c>
      <c r="D704" s="105"/>
    </row>
    <row r="705" spans="1:4" ht="23">
      <c r="A705" s="105">
        <v>704</v>
      </c>
      <c r="B705" s="105" t="s">
        <v>2342</v>
      </c>
      <c r="C705" s="105" t="s">
        <v>2343</v>
      </c>
      <c r="D705" s="105"/>
    </row>
    <row r="706" spans="1:4" ht="23">
      <c r="A706" s="105">
        <v>705</v>
      </c>
      <c r="B706" s="105" t="s">
        <v>2344</v>
      </c>
      <c r="C706" s="105" t="s">
        <v>2345</v>
      </c>
      <c r="D706" s="105"/>
    </row>
    <row r="707" spans="1:4" ht="23">
      <c r="A707" s="105">
        <v>706</v>
      </c>
      <c r="B707" s="105" t="s">
        <v>2346</v>
      </c>
      <c r="C707" s="105" t="s">
        <v>2347</v>
      </c>
      <c r="D707" s="105"/>
    </row>
    <row r="708" spans="1:4" ht="23">
      <c r="A708" s="105">
        <v>707</v>
      </c>
      <c r="B708" s="105" t="s">
        <v>2348</v>
      </c>
      <c r="C708" s="105" t="s">
        <v>2349</v>
      </c>
      <c r="D708" s="105"/>
    </row>
    <row r="709" spans="1:4" ht="46">
      <c r="A709" s="105">
        <v>708</v>
      </c>
      <c r="B709" s="105" t="s">
        <v>2350</v>
      </c>
      <c r="C709" s="105" t="s">
        <v>2351</v>
      </c>
      <c r="D709" s="105"/>
    </row>
    <row r="710" spans="1:4" ht="23">
      <c r="A710" s="105">
        <v>709</v>
      </c>
      <c r="B710" s="105" t="s">
        <v>2352</v>
      </c>
      <c r="C710" s="105" t="s">
        <v>2353</v>
      </c>
      <c r="D710" s="105"/>
    </row>
    <row r="711" spans="1:4" ht="23">
      <c r="A711" s="105">
        <v>710</v>
      </c>
      <c r="B711" s="105" t="s">
        <v>2354</v>
      </c>
      <c r="C711" s="105" t="s">
        <v>2355</v>
      </c>
      <c r="D711" s="105"/>
    </row>
    <row r="712" spans="1:4" ht="23">
      <c r="A712" s="105">
        <v>711</v>
      </c>
      <c r="B712" s="105" t="s">
        <v>2356</v>
      </c>
      <c r="C712" s="105" t="s">
        <v>2357</v>
      </c>
      <c r="D712" s="105"/>
    </row>
    <row r="713" spans="1:4" ht="23">
      <c r="A713" s="105">
        <v>712</v>
      </c>
      <c r="B713" s="105" t="s">
        <v>2358</v>
      </c>
      <c r="C713" s="105" t="s">
        <v>2359</v>
      </c>
      <c r="D713" s="105"/>
    </row>
    <row r="714" spans="1:4" ht="23">
      <c r="A714" s="105">
        <v>713</v>
      </c>
      <c r="B714" s="105" t="s">
        <v>2360</v>
      </c>
      <c r="C714" s="105" t="s">
        <v>2361</v>
      </c>
      <c r="D714" s="105"/>
    </row>
    <row r="715" spans="1:4" ht="23">
      <c r="A715" s="105">
        <v>714</v>
      </c>
      <c r="B715" s="105" t="s">
        <v>2362</v>
      </c>
      <c r="C715" s="105" t="s">
        <v>2363</v>
      </c>
      <c r="D715" s="105"/>
    </row>
    <row r="716" spans="1:4" ht="23">
      <c r="A716" s="105">
        <v>715</v>
      </c>
      <c r="B716" s="105" t="s">
        <v>2364</v>
      </c>
      <c r="C716" s="105" t="s">
        <v>2365</v>
      </c>
      <c r="D716" s="105"/>
    </row>
    <row r="717" spans="1:4" ht="69">
      <c r="A717" s="105">
        <v>716</v>
      </c>
      <c r="B717" s="105" t="s">
        <v>2366</v>
      </c>
      <c r="C717" s="105" t="s">
        <v>2367</v>
      </c>
      <c r="D717" s="105"/>
    </row>
    <row r="718" spans="1:4" ht="23">
      <c r="A718" s="105">
        <v>717</v>
      </c>
      <c r="B718" s="105" t="s">
        <v>2368</v>
      </c>
      <c r="C718" s="105" t="s">
        <v>2369</v>
      </c>
      <c r="D718" s="105"/>
    </row>
    <row r="719" spans="1:4" ht="23">
      <c r="A719" s="105">
        <v>718</v>
      </c>
      <c r="B719" s="105" t="s">
        <v>2370</v>
      </c>
      <c r="C719" s="105" t="s">
        <v>2371</v>
      </c>
      <c r="D719" s="105"/>
    </row>
    <row r="720" spans="1:4" ht="23">
      <c r="A720" s="105">
        <v>719</v>
      </c>
      <c r="B720" s="105" t="s">
        <v>2372</v>
      </c>
      <c r="C720" s="105" t="s">
        <v>2373</v>
      </c>
      <c r="D720" s="105"/>
    </row>
    <row r="721" spans="1:4" ht="23">
      <c r="A721" s="105">
        <v>720</v>
      </c>
      <c r="B721" s="105" t="s">
        <v>2374</v>
      </c>
      <c r="C721" s="105" t="s">
        <v>2375</v>
      </c>
      <c r="D721" s="105"/>
    </row>
    <row r="722" spans="1:4" ht="46">
      <c r="A722" s="105">
        <v>721</v>
      </c>
      <c r="B722" s="105" t="s">
        <v>2376</v>
      </c>
      <c r="C722" s="105" t="s">
        <v>2377</v>
      </c>
      <c r="D722" s="105"/>
    </row>
    <row r="723" spans="1:4" ht="23">
      <c r="A723" s="105">
        <v>722</v>
      </c>
      <c r="B723" s="105" t="s">
        <v>2378</v>
      </c>
      <c r="C723" s="105" t="s">
        <v>2379</v>
      </c>
      <c r="D723" s="105"/>
    </row>
    <row r="724" spans="1:4" ht="23">
      <c r="A724" s="105">
        <v>723</v>
      </c>
      <c r="B724" s="105" t="s">
        <v>2380</v>
      </c>
      <c r="C724" s="105" t="s">
        <v>2381</v>
      </c>
      <c r="D724" s="105"/>
    </row>
    <row r="725" spans="1:4" ht="23">
      <c r="A725" s="105">
        <v>724</v>
      </c>
      <c r="B725" s="105" t="s">
        <v>2382</v>
      </c>
      <c r="C725" s="105" t="s">
        <v>2383</v>
      </c>
      <c r="D725" s="105"/>
    </row>
    <row r="726" spans="1:4" ht="23">
      <c r="A726" s="105">
        <v>725</v>
      </c>
      <c r="B726" s="105" t="s">
        <v>2384</v>
      </c>
      <c r="C726" s="105" t="s">
        <v>2385</v>
      </c>
      <c r="D726" s="105"/>
    </row>
    <row r="727" spans="1:4" ht="23">
      <c r="A727" s="105">
        <v>726</v>
      </c>
      <c r="B727" s="105" t="s">
        <v>2386</v>
      </c>
      <c r="C727" s="105" t="s">
        <v>2387</v>
      </c>
      <c r="D727" s="105"/>
    </row>
    <row r="728" spans="1:4" ht="23">
      <c r="A728" s="105">
        <v>727</v>
      </c>
      <c r="B728" s="105" t="s">
        <v>2388</v>
      </c>
      <c r="C728" s="105" t="s">
        <v>2389</v>
      </c>
      <c r="D728" s="105"/>
    </row>
    <row r="729" spans="1:4" ht="46">
      <c r="A729" s="105">
        <v>728</v>
      </c>
      <c r="B729" s="105" t="s">
        <v>2390</v>
      </c>
      <c r="C729" s="105" t="s">
        <v>2391</v>
      </c>
      <c r="D729" s="105"/>
    </row>
    <row r="730" spans="1:4" ht="23">
      <c r="A730" s="105">
        <v>729</v>
      </c>
      <c r="B730" s="105" t="s">
        <v>2392</v>
      </c>
      <c r="C730" s="105" t="s">
        <v>2393</v>
      </c>
      <c r="D730" s="105"/>
    </row>
    <row r="731" spans="1:4" ht="46">
      <c r="A731" s="105">
        <v>730</v>
      </c>
      <c r="B731" s="105" t="s">
        <v>2394</v>
      </c>
      <c r="C731" s="105" t="s">
        <v>2395</v>
      </c>
      <c r="D731" s="105"/>
    </row>
    <row r="732" spans="1:4" ht="23">
      <c r="A732" s="105">
        <v>731</v>
      </c>
      <c r="B732" s="105" t="s">
        <v>2396</v>
      </c>
      <c r="C732" s="105" t="s">
        <v>2397</v>
      </c>
      <c r="D732" s="105"/>
    </row>
    <row r="733" spans="1:4" ht="23">
      <c r="A733" s="105">
        <v>732</v>
      </c>
      <c r="B733" s="105" t="s">
        <v>2398</v>
      </c>
      <c r="C733" s="105" t="s">
        <v>2399</v>
      </c>
      <c r="D733" s="105"/>
    </row>
    <row r="734" spans="1:4" ht="23">
      <c r="A734" s="105">
        <v>733</v>
      </c>
      <c r="B734" s="105" t="s">
        <v>2400</v>
      </c>
      <c r="C734" s="105" t="s">
        <v>2401</v>
      </c>
      <c r="D734" s="105"/>
    </row>
    <row r="735" spans="1:4" ht="46">
      <c r="A735" s="105">
        <v>734</v>
      </c>
      <c r="B735" s="105" t="s">
        <v>2402</v>
      </c>
      <c r="C735" s="105" t="s">
        <v>2403</v>
      </c>
      <c r="D735" s="105"/>
    </row>
    <row r="736" spans="1:4" ht="23">
      <c r="A736" s="105">
        <v>735</v>
      </c>
      <c r="B736" s="105" t="s">
        <v>2404</v>
      </c>
      <c r="C736" s="105" t="s">
        <v>2405</v>
      </c>
      <c r="D736" s="105"/>
    </row>
    <row r="737" spans="1:4" ht="23">
      <c r="A737" s="105">
        <v>736</v>
      </c>
      <c r="B737" s="105" t="s">
        <v>2406</v>
      </c>
      <c r="C737" s="105" t="s">
        <v>2407</v>
      </c>
      <c r="D737" s="105"/>
    </row>
    <row r="738" spans="1:4" ht="23">
      <c r="A738" s="105">
        <v>737</v>
      </c>
      <c r="B738" s="105" t="s">
        <v>2408</v>
      </c>
      <c r="C738" s="105" t="s">
        <v>2409</v>
      </c>
      <c r="D738" s="105"/>
    </row>
    <row r="739" spans="1:4" ht="46">
      <c r="A739" s="105">
        <v>738</v>
      </c>
      <c r="B739" s="105" t="s">
        <v>2410</v>
      </c>
      <c r="C739" s="105" t="s">
        <v>2411</v>
      </c>
      <c r="D739" s="105"/>
    </row>
    <row r="740" spans="1:4" ht="23">
      <c r="A740" s="105">
        <v>739</v>
      </c>
      <c r="B740" s="105" t="s">
        <v>2412</v>
      </c>
      <c r="C740" s="105" t="s">
        <v>2413</v>
      </c>
      <c r="D740" s="105"/>
    </row>
    <row r="741" spans="1:4" ht="23">
      <c r="A741" s="105">
        <v>740</v>
      </c>
      <c r="B741" s="105" t="s">
        <v>2414</v>
      </c>
      <c r="C741" s="105" t="s">
        <v>2415</v>
      </c>
      <c r="D741" s="105"/>
    </row>
    <row r="742" spans="1:4" ht="23">
      <c r="A742" s="105">
        <v>741</v>
      </c>
      <c r="B742" s="105" t="s">
        <v>2416</v>
      </c>
      <c r="C742" s="105" t="s">
        <v>2417</v>
      </c>
      <c r="D742" s="105"/>
    </row>
    <row r="743" spans="1:4" ht="23">
      <c r="A743" s="105">
        <v>742</v>
      </c>
      <c r="B743" s="105" t="s">
        <v>2418</v>
      </c>
      <c r="C743" s="105" t="s">
        <v>2419</v>
      </c>
      <c r="D743" s="105"/>
    </row>
    <row r="744" spans="1:4" ht="23">
      <c r="A744" s="105">
        <v>743</v>
      </c>
      <c r="B744" s="105" t="s">
        <v>2420</v>
      </c>
      <c r="C744" s="105" t="s">
        <v>2421</v>
      </c>
      <c r="D744" s="105"/>
    </row>
    <row r="745" spans="1:4" ht="23">
      <c r="A745" s="105">
        <v>744</v>
      </c>
      <c r="B745" s="105" t="s">
        <v>2422</v>
      </c>
      <c r="C745" s="105" t="s">
        <v>2423</v>
      </c>
      <c r="D745" s="105"/>
    </row>
    <row r="746" spans="1:4" ht="23">
      <c r="A746" s="105">
        <v>745</v>
      </c>
      <c r="B746" s="105" t="s">
        <v>2424</v>
      </c>
      <c r="C746" s="105" t="s">
        <v>2425</v>
      </c>
      <c r="D746" s="105"/>
    </row>
    <row r="747" spans="1:4" ht="92">
      <c r="A747" s="105">
        <v>746</v>
      </c>
      <c r="B747" s="105" t="s">
        <v>2426</v>
      </c>
      <c r="C747" s="105" t="s">
        <v>2427</v>
      </c>
      <c r="D747" s="105"/>
    </row>
    <row r="748" spans="1:4" ht="23">
      <c r="A748" s="105">
        <v>747</v>
      </c>
      <c r="B748" s="105" t="s">
        <v>2428</v>
      </c>
      <c r="C748" s="105" t="s">
        <v>2429</v>
      </c>
      <c r="D748" s="105"/>
    </row>
    <row r="749" spans="1:4" ht="23">
      <c r="A749" s="105">
        <v>748</v>
      </c>
      <c r="B749" s="105" t="s">
        <v>2431</v>
      </c>
      <c r="C749" s="105" t="s">
        <v>2432</v>
      </c>
      <c r="D749" s="105"/>
    </row>
    <row r="750" spans="1:4" ht="23">
      <c r="A750" s="105">
        <v>749</v>
      </c>
      <c r="B750" s="105" t="s">
        <v>2433</v>
      </c>
      <c r="C750" s="105" t="s">
        <v>2434</v>
      </c>
      <c r="D750" s="105"/>
    </row>
    <row r="751" spans="1:4" ht="23">
      <c r="A751" s="105">
        <v>750</v>
      </c>
      <c r="B751" s="105" t="s">
        <v>2435</v>
      </c>
      <c r="C751" s="105" t="s">
        <v>2436</v>
      </c>
      <c r="D751" s="105"/>
    </row>
    <row r="752" spans="1:4" ht="23">
      <c r="A752" s="105">
        <v>751</v>
      </c>
      <c r="B752" s="105" t="s">
        <v>2437</v>
      </c>
      <c r="C752" s="105" t="s">
        <v>2438</v>
      </c>
      <c r="D752" s="105"/>
    </row>
    <row r="753" spans="1:4" ht="23">
      <c r="A753" s="105">
        <v>752</v>
      </c>
      <c r="B753" s="105" t="s">
        <v>2439</v>
      </c>
      <c r="C753" s="105" t="s">
        <v>2440</v>
      </c>
      <c r="D753" s="105"/>
    </row>
    <row r="754" spans="1:4" ht="69">
      <c r="A754" s="105">
        <v>753</v>
      </c>
      <c r="B754" s="105" t="s">
        <v>2441</v>
      </c>
      <c r="C754" s="105" t="s">
        <v>2442</v>
      </c>
      <c r="D754" s="105"/>
    </row>
    <row r="755" spans="1:4" ht="46">
      <c r="A755" s="105">
        <v>754</v>
      </c>
      <c r="B755" s="105" t="s">
        <v>2443</v>
      </c>
      <c r="C755" s="105" t="s">
        <v>2444</v>
      </c>
      <c r="D755" s="105"/>
    </row>
    <row r="756" spans="1:4" ht="23">
      <c r="A756" s="105">
        <v>755</v>
      </c>
      <c r="B756" s="105" t="s">
        <v>2445</v>
      </c>
      <c r="C756" s="105" t="s">
        <v>2446</v>
      </c>
      <c r="D756" s="105"/>
    </row>
    <row r="757" spans="1:4" ht="23">
      <c r="A757" s="105">
        <v>756</v>
      </c>
      <c r="B757" s="105" t="s">
        <v>2447</v>
      </c>
      <c r="C757" s="105" t="s">
        <v>2448</v>
      </c>
      <c r="D757" s="105"/>
    </row>
    <row r="758" spans="1:4" ht="23">
      <c r="A758" s="105">
        <v>757</v>
      </c>
      <c r="B758" s="105" t="s">
        <v>2449</v>
      </c>
      <c r="C758" s="105" t="s">
        <v>2450</v>
      </c>
      <c r="D758" s="105"/>
    </row>
    <row r="759" spans="1:4" ht="23">
      <c r="A759" s="105">
        <v>758</v>
      </c>
      <c r="B759" s="105" t="s">
        <v>2451</v>
      </c>
      <c r="C759" s="105" t="s">
        <v>2452</v>
      </c>
      <c r="D759" s="105"/>
    </row>
    <row r="760" spans="1:4" ht="23">
      <c r="A760" s="105">
        <v>759</v>
      </c>
      <c r="B760" s="105" t="s">
        <v>2453</v>
      </c>
      <c r="C760" s="105" t="s">
        <v>2454</v>
      </c>
      <c r="D760" s="105"/>
    </row>
    <row r="761" spans="1:4" ht="23">
      <c r="A761" s="105">
        <v>760</v>
      </c>
      <c r="B761" s="105" t="s">
        <v>2455</v>
      </c>
      <c r="C761" s="105" t="s">
        <v>2456</v>
      </c>
      <c r="D761" s="105"/>
    </row>
    <row r="762" spans="1:4" ht="23">
      <c r="A762" s="105">
        <v>761</v>
      </c>
      <c r="B762" s="105" t="s">
        <v>2457</v>
      </c>
      <c r="C762" s="105" t="s">
        <v>2458</v>
      </c>
      <c r="D762" s="105"/>
    </row>
    <row r="763" spans="1:4" ht="23">
      <c r="A763" s="105">
        <v>762</v>
      </c>
      <c r="B763" s="105" t="s">
        <v>2459</v>
      </c>
      <c r="C763" s="105" t="s">
        <v>2460</v>
      </c>
      <c r="D763" s="105"/>
    </row>
    <row r="764" spans="1:4" ht="23">
      <c r="A764" s="105">
        <v>763</v>
      </c>
      <c r="B764" s="105" t="s">
        <v>2461</v>
      </c>
      <c r="C764" s="105" t="s">
        <v>2462</v>
      </c>
      <c r="D764" s="105"/>
    </row>
    <row r="765" spans="1:4" ht="23">
      <c r="A765" s="105">
        <v>764</v>
      </c>
      <c r="B765" s="105" t="s">
        <v>2463</v>
      </c>
      <c r="C765" s="105" t="s">
        <v>2464</v>
      </c>
      <c r="D765" s="105"/>
    </row>
    <row r="766" spans="1:4" ht="23">
      <c r="A766" s="105">
        <v>765</v>
      </c>
      <c r="B766" s="105" t="s">
        <v>2465</v>
      </c>
      <c r="C766" s="105" t="s">
        <v>2466</v>
      </c>
      <c r="D766" s="105"/>
    </row>
    <row r="767" spans="1:4" ht="23">
      <c r="A767" s="105">
        <v>766</v>
      </c>
      <c r="B767" s="105" t="s">
        <v>2467</v>
      </c>
      <c r="C767" s="105" t="s">
        <v>2468</v>
      </c>
      <c r="D767" s="105"/>
    </row>
    <row r="768" spans="1:4" ht="23">
      <c r="A768" s="105">
        <v>767</v>
      </c>
      <c r="B768" s="105" t="s">
        <v>2469</v>
      </c>
      <c r="C768" s="105" t="s">
        <v>2470</v>
      </c>
      <c r="D768" s="105"/>
    </row>
    <row r="769" spans="1:4" ht="23">
      <c r="A769" s="105">
        <v>768</v>
      </c>
      <c r="B769" s="105" t="s">
        <v>2471</v>
      </c>
      <c r="C769" s="105" t="s">
        <v>2472</v>
      </c>
      <c r="D769" s="105"/>
    </row>
    <row r="770" spans="1:4" ht="23">
      <c r="A770" s="105">
        <v>769</v>
      </c>
      <c r="B770" s="105" t="s">
        <v>2473</v>
      </c>
      <c r="C770" s="105" t="s">
        <v>2474</v>
      </c>
      <c r="D770" s="105"/>
    </row>
    <row r="771" spans="1:4" ht="23">
      <c r="A771" s="105">
        <v>770</v>
      </c>
      <c r="B771" s="105" t="s">
        <v>2475</v>
      </c>
      <c r="C771" s="105" t="s">
        <v>2476</v>
      </c>
      <c r="D771" s="105"/>
    </row>
    <row r="772" spans="1:4" ht="23">
      <c r="A772" s="105">
        <v>771</v>
      </c>
      <c r="B772" s="105" t="s">
        <v>2477</v>
      </c>
      <c r="C772" s="105" t="s">
        <v>2478</v>
      </c>
      <c r="D772" s="105"/>
    </row>
    <row r="773" spans="1:4" ht="23">
      <c r="A773" s="105">
        <v>772</v>
      </c>
      <c r="B773" s="105" t="s">
        <v>2479</v>
      </c>
      <c r="C773" s="105" t="s">
        <v>2480</v>
      </c>
      <c r="D773" s="105"/>
    </row>
    <row r="774" spans="1:4" ht="23">
      <c r="A774" s="105">
        <v>773</v>
      </c>
      <c r="B774" s="105" t="s">
        <v>2481</v>
      </c>
      <c r="C774" s="105" t="s">
        <v>2482</v>
      </c>
      <c r="D774" s="105"/>
    </row>
    <row r="775" spans="1:4" ht="23">
      <c r="A775" s="105">
        <v>774</v>
      </c>
      <c r="B775" s="105" t="s">
        <v>2483</v>
      </c>
      <c r="C775" s="105" t="s">
        <v>2484</v>
      </c>
      <c r="D775" s="105"/>
    </row>
    <row r="776" spans="1:4" ht="23">
      <c r="A776" s="105">
        <v>775</v>
      </c>
      <c r="B776" s="105" t="s">
        <v>2485</v>
      </c>
      <c r="C776" s="105" t="s">
        <v>2486</v>
      </c>
      <c r="D776" s="105"/>
    </row>
    <row r="777" spans="1:4" ht="46">
      <c r="A777" s="105">
        <v>776</v>
      </c>
      <c r="B777" s="105" t="s">
        <v>2487</v>
      </c>
      <c r="C777" s="105" t="s">
        <v>2488</v>
      </c>
      <c r="D777" s="105"/>
    </row>
    <row r="778" spans="1:4" ht="46">
      <c r="A778" s="105">
        <v>777</v>
      </c>
      <c r="B778" s="105" t="s">
        <v>2489</v>
      </c>
      <c r="C778" s="105" t="s">
        <v>2490</v>
      </c>
      <c r="D778" s="105"/>
    </row>
    <row r="779" spans="1:4" ht="23">
      <c r="A779" s="105">
        <v>778</v>
      </c>
      <c r="B779" s="105" t="s">
        <v>2493</v>
      </c>
      <c r="C779" s="105" t="s">
        <v>2494</v>
      </c>
      <c r="D779" s="105"/>
    </row>
    <row r="780" spans="1:4" ht="23">
      <c r="A780" s="105">
        <v>779</v>
      </c>
      <c r="B780" s="105" t="s">
        <v>2495</v>
      </c>
      <c r="C780" s="105" t="s">
        <v>2423</v>
      </c>
      <c r="D780" s="105"/>
    </row>
    <row r="781" spans="1:4" ht="46">
      <c r="A781" s="105">
        <v>780</v>
      </c>
      <c r="B781" s="105" t="s">
        <v>2496</v>
      </c>
      <c r="C781" s="105" t="s">
        <v>2497</v>
      </c>
      <c r="D781" s="105"/>
    </row>
    <row r="782" spans="1:4" ht="46">
      <c r="A782" s="105">
        <v>781</v>
      </c>
      <c r="B782" s="105" t="s">
        <v>2498</v>
      </c>
      <c r="C782" s="105" t="s">
        <v>2499</v>
      </c>
      <c r="D782" s="105"/>
    </row>
    <row r="783" spans="1:4" ht="46">
      <c r="A783" s="105">
        <v>782</v>
      </c>
      <c r="B783" s="105" t="s">
        <v>2500</v>
      </c>
      <c r="C783" s="105" t="s">
        <v>2501</v>
      </c>
      <c r="D783" s="105"/>
    </row>
    <row r="784" spans="1:4" ht="23">
      <c r="A784" s="105">
        <v>783</v>
      </c>
      <c r="B784" s="105" t="s">
        <v>2502</v>
      </c>
      <c r="C784" s="105" t="s">
        <v>2503</v>
      </c>
      <c r="D784" s="105"/>
    </row>
    <row r="785" spans="1:4" ht="23">
      <c r="A785" s="105">
        <v>784</v>
      </c>
      <c r="B785" s="105" t="s">
        <v>2504</v>
      </c>
      <c r="C785" s="105" t="s">
        <v>2505</v>
      </c>
      <c r="D785" s="105"/>
    </row>
    <row r="786" spans="1:4" ht="23">
      <c r="A786" s="105">
        <v>785</v>
      </c>
      <c r="B786" s="105" t="s">
        <v>2506</v>
      </c>
      <c r="C786" s="105" t="s">
        <v>2507</v>
      </c>
      <c r="D786" s="105"/>
    </row>
    <row r="787" spans="1:4" ht="23">
      <c r="A787" s="105">
        <v>786</v>
      </c>
      <c r="B787" s="105" t="s">
        <v>2508</v>
      </c>
      <c r="C787" s="105" t="s">
        <v>2509</v>
      </c>
      <c r="D787" s="105"/>
    </row>
    <row r="788" spans="1:4" ht="23">
      <c r="A788" s="105">
        <v>787</v>
      </c>
      <c r="B788" s="105" t="s">
        <v>2510</v>
      </c>
      <c r="C788" s="105" t="s">
        <v>2511</v>
      </c>
      <c r="D788" s="105"/>
    </row>
    <row r="789" spans="1:4" ht="23">
      <c r="A789" s="105">
        <v>788</v>
      </c>
      <c r="B789" s="105" t="s">
        <v>2512</v>
      </c>
      <c r="C789" s="105" t="s">
        <v>2513</v>
      </c>
      <c r="D789" s="105"/>
    </row>
    <row r="790" spans="1:4" ht="23">
      <c r="A790" s="105">
        <v>789</v>
      </c>
      <c r="B790" s="105" t="s">
        <v>2514</v>
      </c>
      <c r="C790" s="105" t="s">
        <v>2515</v>
      </c>
      <c r="D790" s="105"/>
    </row>
    <row r="791" spans="1:4" ht="23">
      <c r="A791" s="105">
        <v>790</v>
      </c>
      <c r="B791" s="105" t="s">
        <v>2516</v>
      </c>
      <c r="C791" s="105" t="s">
        <v>2517</v>
      </c>
      <c r="D791" s="105"/>
    </row>
    <row r="792" spans="1:4" ht="23">
      <c r="A792" s="105">
        <v>791</v>
      </c>
      <c r="B792" s="105" t="s">
        <v>2518</v>
      </c>
      <c r="C792" s="105" t="s">
        <v>2519</v>
      </c>
      <c r="D792" s="105"/>
    </row>
    <row r="793" spans="1:4" ht="46">
      <c r="A793" s="105">
        <v>792</v>
      </c>
      <c r="B793" s="105" t="s">
        <v>2520</v>
      </c>
      <c r="C793" s="105" t="s">
        <v>2521</v>
      </c>
      <c r="D793" s="105"/>
    </row>
    <row r="794" spans="1:4" ht="23">
      <c r="A794" s="105">
        <v>793</v>
      </c>
      <c r="B794" s="105" t="s">
        <v>2522</v>
      </c>
      <c r="C794" s="105" t="s">
        <v>2523</v>
      </c>
      <c r="D794" s="105"/>
    </row>
    <row r="795" spans="1:4" ht="23">
      <c r="A795" s="105">
        <v>794</v>
      </c>
      <c r="B795" s="105" t="s">
        <v>2524</v>
      </c>
      <c r="C795" s="105" t="s">
        <v>2525</v>
      </c>
      <c r="D795" s="105"/>
    </row>
    <row r="796" spans="1:4" ht="46">
      <c r="A796" s="105">
        <v>795</v>
      </c>
      <c r="B796" s="105" t="s">
        <v>2526</v>
      </c>
      <c r="C796" s="105" t="s">
        <v>2527</v>
      </c>
      <c r="D796" s="105"/>
    </row>
    <row r="797" spans="1:4" ht="23">
      <c r="A797" s="105">
        <v>796</v>
      </c>
      <c r="B797" s="105" t="s">
        <v>2528</v>
      </c>
      <c r="C797" s="105" t="s">
        <v>2529</v>
      </c>
      <c r="D797" s="105"/>
    </row>
    <row r="798" spans="1:4" ht="23">
      <c r="A798" s="105">
        <v>797</v>
      </c>
      <c r="B798" s="105" t="s">
        <v>2530</v>
      </c>
      <c r="C798" s="105" t="s">
        <v>2531</v>
      </c>
      <c r="D798" s="105"/>
    </row>
    <row r="799" spans="1:4" ht="23">
      <c r="A799" s="105">
        <v>798</v>
      </c>
      <c r="B799" s="105" t="s">
        <v>2532</v>
      </c>
      <c r="C799" s="105" t="s">
        <v>4062</v>
      </c>
      <c r="D799" s="105"/>
    </row>
    <row r="800" spans="1:4" ht="23">
      <c r="A800" s="105">
        <v>799</v>
      </c>
      <c r="B800" s="105" t="s">
        <v>2533</v>
      </c>
      <c r="C800" s="105" t="s">
        <v>2534</v>
      </c>
      <c r="D800" s="105"/>
    </row>
    <row r="801" spans="1:4" ht="23">
      <c r="A801" s="105">
        <v>800</v>
      </c>
      <c r="B801" s="105" t="s">
        <v>2535</v>
      </c>
      <c r="C801" s="105" t="s">
        <v>2536</v>
      </c>
      <c r="D801" s="105"/>
    </row>
    <row r="802" spans="1:4" ht="23">
      <c r="A802" s="105">
        <v>801</v>
      </c>
      <c r="B802" s="105" t="s">
        <v>2537</v>
      </c>
      <c r="C802" s="105" t="s">
        <v>2538</v>
      </c>
      <c r="D802" s="105"/>
    </row>
    <row r="803" spans="1:4" ht="23">
      <c r="A803" s="105">
        <v>802</v>
      </c>
      <c r="B803" s="105" t="s">
        <v>2539</v>
      </c>
      <c r="C803" s="105" t="s">
        <v>2540</v>
      </c>
      <c r="D803" s="105"/>
    </row>
    <row r="804" spans="1:4" ht="23">
      <c r="A804" s="105">
        <v>803</v>
      </c>
      <c r="B804" s="105" t="s">
        <v>2541</v>
      </c>
      <c r="C804" s="105" t="s">
        <v>2542</v>
      </c>
      <c r="D804" s="105"/>
    </row>
    <row r="805" spans="1:4" ht="23">
      <c r="A805" s="105">
        <v>804</v>
      </c>
      <c r="B805" s="105" t="s">
        <v>2543</v>
      </c>
      <c r="C805" s="105" t="s">
        <v>2544</v>
      </c>
      <c r="D805" s="105"/>
    </row>
    <row r="806" spans="1:4" ht="46">
      <c r="A806" s="105">
        <v>805</v>
      </c>
      <c r="B806" s="105" t="s">
        <v>2545</v>
      </c>
      <c r="C806" s="105" t="s">
        <v>2546</v>
      </c>
      <c r="D806" s="105"/>
    </row>
    <row r="807" spans="1:4" ht="23">
      <c r="A807" s="105">
        <v>806</v>
      </c>
      <c r="B807" s="105" t="s">
        <v>2547</v>
      </c>
      <c r="C807" s="105" t="s">
        <v>2548</v>
      </c>
      <c r="D807" s="105"/>
    </row>
    <row r="808" spans="1:4" ht="23">
      <c r="A808" s="105">
        <v>807</v>
      </c>
      <c r="B808" s="105" t="s">
        <v>2549</v>
      </c>
      <c r="C808" s="105" t="s">
        <v>2550</v>
      </c>
      <c r="D808" s="105"/>
    </row>
    <row r="809" spans="1:4" ht="23">
      <c r="A809" s="105">
        <v>808</v>
      </c>
      <c r="B809" s="105" t="s">
        <v>2551</v>
      </c>
      <c r="C809" s="105" t="s">
        <v>2552</v>
      </c>
      <c r="D809" s="105"/>
    </row>
    <row r="810" spans="1:4" ht="23">
      <c r="A810" s="105">
        <v>809</v>
      </c>
      <c r="B810" s="105" t="s">
        <v>2553</v>
      </c>
      <c r="C810" s="105" t="s">
        <v>2554</v>
      </c>
      <c r="D810" s="105"/>
    </row>
    <row r="811" spans="1:4" ht="23">
      <c r="A811" s="105">
        <v>810</v>
      </c>
      <c r="B811" s="105" t="s">
        <v>2555</v>
      </c>
      <c r="C811" s="105" t="s">
        <v>2556</v>
      </c>
      <c r="D811" s="105"/>
    </row>
    <row r="812" spans="1:4" ht="23">
      <c r="A812" s="105">
        <v>811</v>
      </c>
      <c r="B812" s="105" t="s">
        <v>2557</v>
      </c>
      <c r="C812" s="105" t="s">
        <v>2558</v>
      </c>
      <c r="D812" s="105"/>
    </row>
    <row r="813" spans="1:4" ht="23">
      <c r="A813" s="105">
        <v>812</v>
      </c>
      <c r="B813" s="105" t="s">
        <v>2559</v>
      </c>
      <c r="C813" s="105" t="s">
        <v>2560</v>
      </c>
      <c r="D813" s="105"/>
    </row>
    <row r="814" spans="1:4" ht="23">
      <c r="A814" s="105">
        <v>813</v>
      </c>
      <c r="B814" s="105" t="s">
        <v>2561</v>
      </c>
      <c r="C814" s="105" t="s">
        <v>2562</v>
      </c>
      <c r="D814" s="105"/>
    </row>
    <row r="815" spans="1:4" ht="23">
      <c r="A815" s="105">
        <v>814</v>
      </c>
      <c r="B815" s="105" t="s">
        <v>2563</v>
      </c>
      <c r="C815" s="105" t="s">
        <v>2564</v>
      </c>
      <c r="D815" s="105"/>
    </row>
    <row r="816" spans="1:4" ht="23">
      <c r="A816" s="105">
        <v>815</v>
      </c>
      <c r="B816" s="105" t="s">
        <v>2565</v>
      </c>
      <c r="C816" s="105" t="s">
        <v>2566</v>
      </c>
      <c r="D816" s="105"/>
    </row>
    <row r="817" spans="1:4" ht="23">
      <c r="A817" s="105">
        <v>816</v>
      </c>
      <c r="B817" s="105" t="s">
        <v>2567</v>
      </c>
      <c r="C817" s="105" t="s">
        <v>2568</v>
      </c>
      <c r="D817" s="105"/>
    </row>
    <row r="818" spans="1:4" ht="23">
      <c r="A818" s="105">
        <v>817</v>
      </c>
      <c r="B818" s="105" t="s">
        <v>2569</v>
      </c>
      <c r="C818" s="105" t="s">
        <v>2570</v>
      </c>
      <c r="D818" s="105"/>
    </row>
    <row r="819" spans="1:4" ht="23">
      <c r="A819" s="105">
        <v>818</v>
      </c>
      <c r="B819" s="105" t="s">
        <v>2571</v>
      </c>
      <c r="C819" s="105" t="s">
        <v>1529</v>
      </c>
      <c r="D819" s="105"/>
    </row>
    <row r="820" spans="1:4" ht="23">
      <c r="A820" s="105">
        <v>819</v>
      </c>
      <c r="B820" s="105" t="s">
        <v>2572</v>
      </c>
      <c r="C820" s="105" t="s">
        <v>2573</v>
      </c>
      <c r="D820" s="105"/>
    </row>
    <row r="821" spans="1:4" ht="23">
      <c r="A821" s="105">
        <v>820</v>
      </c>
      <c r="B821" s="105" t="s">
        <v>2574</v>
      </c>
      <c r="C821" s="105" t="s">
        <v>2575</v>
      </c>
      <c r="D821" s="105"/>
    </row>
    <row r="822" spans="1:4" ht="23">
      <c r="A822" s="105">
        <v>821</v>
      </c>
      <c r="B822" s="105" t="s">
        <v>2576</v>
      </c>
      <c r="C822" s="105" t="s">
        <v>2577</v>
      </c>
      <c r="D822" s="105"/>
    </row>
    <row r="823" spans="1:4" ht="23">
      <c r="A823" s="105">
        <v>822</v>
      </c>
      <c r="B823" s="105" t="s">
        <v>2578</v>
      </c>
      <c r="C823" s="105" t="s">
        <v>2579</v>
      </c>
      <c r="D823" s="105"/>
    </row>
    <row r="824" spans="1:4" ht="46">
      <c r="A824" s="105">
        <v>823</v>
      </c>
      <c r="B824" s="105" t="s">
        <v>2580</v>
      </c>
      <c r="C824" s="105" t="s">
        <v>2581</v>
      </c>
      <c r="D824" s="105"/>
    </row>
    <row r="825" spans="1:4" ht="46">
      <c r="A825" s="105">
        <v>824</v>
      </c>
      <c r="B825" s="105" t="s">
        <v>2582</v>
      </c>
      <c r="C825" s="105" t="s">
        <v>1228</v>
      </c>
      <c r="D825" s="105"/>
    </row>
    <row r="826" spans="1:4" ht="23">
      <c r="A826" s="105">
        <v>825</v>
      </c>
      <c r="B826" s="105" t="s">
        <v>2583</v>
      </c>
      <c r="C826" s="105" t="s">
        <v>2584</v>
      </c>
      <c r="D826" s="105"/>
    </row>
    <row r="827" spans="1:4" ht="23">
      <c r="A827" s="105">
        <v>826</v>
      </c>
      <c r="B827" s="105" t="s">
        <v>2585</v>
      </c>
      <c r="C827" s="105" t="s">
        <v>2586</v>
      </c>
      <c r="D827" s="105"/>
    </row>
    <row r="828" spans="1:4" ht="23">
      <c r="A828" s="105">
        <v>827</v>
      </c>
      <c r="B828" s="105" t="s">
        <v>2587</v>
      </c>
      <c r="C828" s="105" t="s">
        <v>2588</v>
      </c>
      <c r="D828" s="105"/>
    </row>
    <row r="829" spans="1:4" ht="23">
      <c r="A829" s="105">
        <v>828</v>
      </c>
      <c r="B829" s="105" t="s">
        <v>2589</v>
      </c>
      <c r="C829" s="105" t="s">
        <v>2590</v>
      </c>
      <c r="D829" s="105"/>
    </row>
    <row r="830" spans="1:4" ht="23">
      <c r="A830" s="105">
        <v>829</v>
      </c>
      <c r="B830" s="105" t="s">
        <v>2591</v>
      </c>
      <c r="C830" s="105" t="s">
        <v>2592</v>
      </c>
      <c r="D830" s="105"/>
    </row>
    <row r="831" spans="1:4" ht="23">
      <c r="A831" s="105">
        <v>830</v>
      </c>
      <c r="B831" s="105" t="s">
        <v>2593</v>
      </c>
      <c r="C831" s="105" t="s">
        <v>2594</v>
      </c>
      <c r="D831" s="105"/>
    </row>
    <row r="832" spans="1:4" ht="46">
      <c r="A832" s="105">
        <v>831</v>
      </c>
      <c r="B832" s="105" t="s">
        <v>2595</v>
      </c>
      <c r="C832" s="105" t="s">
        <v>1411</v>
      </c>
      <c r="D832" s="105"/>
    </row>
    <row r="833" spans="1:4" ht="46">
      <c r="A833" s="105">
        <v>832</v>
      </c>
      <c r="B833" s="105" t="s">
        <v>2596</v>
      </c>
      <c r="C833" s="105" t="s">
        <v>2597</v>
      </c>
      <c r="D833" s="105"/>
    </row>
    <row r="834" spans="1:4" ht="46">
      <c r="A834" s="105">
        <v>833</v>
      </c>
      <c r="B834" s="105" t="s">
        <v>2598</v>
      </c>
      <c r="C834" s="105" t="s">
        <v>2599</v>
      </c>
      <c r="D834" s="105"/>
    </row>
    <row r="835" spans="1:4" ht="23">
      <c r="A835" s="105">
        <v>834</v>
      </c>
      <c r="B835" s="105" t="s">
        <v>2600</v>
      </c>
      <c r="C835" s="105" t="s">
        <v>2601</v>
      </c>
      <c r="D835" s="105"/>
    </row>
    <row r="836" spans="1:4" ht="23">
      <c r="A836" s="105">
        <v>835</v>
      </c>
      <c r="B836" s="105" t="s">
        <v>2602</v>
      </c>
      <c r="C836" s="105" t="s">
        <v>2603</v>
      </c>
      <c r="D836" s="105"/>
    </row>
    <row r="837" spans="1:4" ht="46">
      <c r="A837" s="105">
        <v>836</v>
      </c>
      <c r="B837" s="105" t="s">
        <v>2604</v>
      </c>
      <c r="C837" s="105" t="s">
        <v>2605</v>
      </c>
      <c r="D837" s="105"/>
    </row>
    <row r="838" spans="1:4" ht="46">
      <c r="A838" s="105">
        <v>837</v>
      </c>
      <c r="B838" s="105" t="s">
        <v>2606</v>
      </c>
      <c r="C838" s="105" t="s">
        <v>2607</v>
      </c>
      <c r="D838" s="105"/>
    </row>
    <row r="839" spans="1:4" ht="23">
      <c r="A839" s="105">
        <v>838</v>
      </c>
      <c r="B839" s="105" t="s">
        <v>2608</v>
      </c>
      <c r="C839" s="105" t="s">
        <v>2609</v>
      </c>
      <c r="D839" s="105"/>
    </row>
    <row r="840" spans="1:4" ht="46">
      <c r="A840" s="105">
        <v>839</v>
      </c>
      <c r="B840" s="105" t="s">
        <v>2610</v>
      </c>
      <c r="C840" s="105" t="s">
        <v>2611</v>
      </c>
      <c r="D840" s="105"/>
    </row>
    <row r="841" spans="1:4" ht="46">
      <c r="A841" s="105">
        <v>840</v>
      </c>
      <c r="B841" s="105" t="s">
        <v>2612</v>
      </c>
      <c r="C841" s="105" t="s">
        <v>2613</v>
      </c>
      <c r="D841" s="105"/>
    </row>
    <row r="842" spans="1:4" ht="23">
      <c r="A842" s="105">
        <v>841</v>
      </c>
      <c r="B842" s="105" t="s">
        <v>2614</v>
      </c>
      <c r="C842" s="105" t="s">
        <v>2615</v>
      </c>
      <c r="D842" s="105"/>
    </row>
    <row r="843" spans="1:4" ht="23">
      <c r="A843" s="105">
        <v>842</v>
      </c>
      <c r="B843" s="105" t="s">
        <v>2616</v>
      </c>
      <c r="C843" s="105" t="s">
        <v>2617</v>
      </c>
      <c r="D843" s="105"/>
    </row>
    <row r="844" spans="1:4" ht="46">
      <c r="A844" s="105">
        <v>843</v>
      </c>
      <c r="B844" s="105" t="s">
        <v>2618</v>
      </c>
      <c r="C844" s="105" t="s">
        <v>1123</v>
      </c>
      <c r="D844" s="105"/>
    </row>
    <row r="845" spans="1:4" ht="46">
      <c r="A845" s="105">
        <v>844</v>
      </c>
      <c r="B845" s="105" t="s">
        <v>2619</v>
      </c>
      <c r="C845" s="105" t="s">
        <v>2620</v>
      </c>
      <c r="D845" s="105"/>
    </row>
    <row r="846" spans="1:4" ht="23">
      <c r="A846" s="105">
        <v>845</v>
      </c>
      <c r="B846" s="105" t="s">
        <v>2621</v>
      </c>
      <c r="C846" s="105" t="s">
        <v>2622</v>
      </c>
      <c r="D846" s="105"/>
    </row>
    <row r="847" spans="1:4" ht="23">
      <c r="A847" s="105">
        <v>846</v>
      </c>
      <c r="B847" s="105" t="s">
        <v>2623</v>
      </c>
      <c r="C847" s="105" t="s">
        <v>2624</v>
      </c>
      <c r="D847" s="105"/>
    </row>
    <row r="848" spans="1:4" ht="23">
      <c r="A848" s="105">
        <v>847</v>
      </c>
      <c r="B848" s="105" t="s">
        <v>2625</v>
      </c>
      <c r="C848" s="105" t="s">
        <v>2626</v>
      </c>
      <c r="D848" s="105"/>
    </row>
    <row r="849" spans="1:4" ht="23">
      <c r="A849" s="105">
        <v>848</v>
      </c>
      <c r="B849" s="105" t="s">
        <v>2627</v>
      </c>
      <c r="C849" s="105" t="s">
        <v>1499</v>
      </c>
      <c r="D849" s="105"/>
    </row>
    <row r="850" spans="1:4" ht="23">
      <c r="A850" s="105">
        <v>849</v>
      </c>
      <c r="B850" s="105" t="s">
        <v>2628</v>
      </c>
      <c r="C850" s="105" t="s">
        <v>2629</v>
      </c>
      <c r="D850" s="105"/>
    </row>
    <row r="851" spans="1:4" ht="23">
      <c r="A851" s="105">
        <v>850</v>
      </c>
      <c r="B851" s="105" t="s">
        <v>2630</v>
      </c>
      <c r="C851" s="105" t="s">
        <v>2631</v>
      </c>
      <c r="D851" s="105"/>
    </row>
    <row r="852" spans="1:4" ht="23">
      <c r="A852" s="105">
        <v>851</v>
      </c>
      <c r="B852" s="105" t="s">
        <v>2632</v>
      </c>
      <c r="C852" s="105" t="s">
        <v>2633</v>
      </c>
      <c r="D852" s="105"/>
    </row>
    <row r="853" spans="1:4" ht="23">
      <c r="A853" s="105">
        <v>852</v>
      </c>
      <c r="B853" s="105" t="s">
        <v>2634</v>
      </c>
      <c r="C853" s="105" t="s">
        <v>2635</v>
      </c>
      <c r="D853" s="105"/>
    </row>
    <row r="854" spans="1:4" ht="23">
      <c r="A854" s="105">
        <v>853</v>
      </c>
      <c r="B854" s="105" t="s">
        <v>2636</v>
      </c>
      <c r="C854" s="105" t="s">
        <v>2637</v>
      </c>
      <c r="D854" s="105"/>
    </row>
    <row r="855" spans="1:4" ht="23">
      <c r="A855" s="105">
        <v>854</v>
      </c>
      <c r="B855" s="105" t="s">
        <v>2638</v>
      </c>
      <c r="C855" s="105" t="s">
        <v>2639</v>
      </c>
      <c r="D855" s="105"/>
    </row>
    <row r="856" spans="1:4" ht="23">
      <c r="A856" s="105">
        <v>855</v>
      </c>
      <c r="B856" s="105" t="s">
        <v>2640</v>
      </c>
      <c r="C856" s="105" t="s">
        <v>2641</v>
      </c>
      <c r="D856" s="105"/>
    </row>
    <row r="857" spans="1:4" ht="23">
      <c r="A857" s="105">
        <v>856</v>
      </c>
      <c r="B857" s="105" t="s">
        <v>2642</v>
      </c>
      <c r="C857" s="105" t="s">
        <v>2643</v>
      </c>
      <c r="D857" s="105"/>
    </row>
    <row r="858" spans="1:4" ht="23">
      <c r="A858" s="105">
        <v>857</v>
      </c>
      <c r="B858" s="105" t="s">
        <v>2644</v>
      </c>
      <c r="C858" s="105" t="s">
        <v>2645</v>
      </c>
      <c r="D858" s="105"/>
    </row>
    <row r="859" spans="1:4" ht="23">
      <c r="A859" s="105">
        <v>858</v>
      </c>
      <c r="B859" s="105" t="s">
        <v>2646</v>
      </c>
      <c r="C859" s="105" t="s">
        <v>2647</v>
      </c>
      <c r="D859" s="105"/>
    </row>
    <row r="860" spans="1:4" ht="23">
      <c r="A860" s="105">
        <v>859</v>
      </c>
      <c r="B860" s="105" t="s">
        <v>2648</v>
      </c>
      <c r="C860" s="105" t="s">
        <v>2649</v>
      </c>
      <c r="D860" s="105"/>
    </row>
    <row r="861" spans="1:4" ht="23">
      <c r="A861" s="105">
        <v>860</v>
      </c>
      <c r="B861" s="105" t="s">
        <v>2650</v>
      </c>
      <c r="C861" s="105" t="s">
        <v>2651</v>
      </c>
      <c r="D861" s="105"/>
    </row>
    <row r="862" spans="1:4" ht="23">
      <c r="A862" s="105">
        <v>861</v>
      </c>
      <c r="B862" s="105" t="s">
        <v>2652</v>
      </c>
      <c r="C862" s="105" t="s">
        <v>2653</v>
      </c>
      <c r="D862" s="105"/>
    </row>
    <row r="863" spans="1:4" ht="23">
      <c r="A863" s="105">
        <v>862</v>
      </c>
      <c r="B863" s="105" t="s">
        <v>2654</v>
      </c>
      <c r="C863" s="105" t="s">
        <v>2655</v>
      </c>
      <c r="D863" s="105"/>
    </row>
    <row r="864" spans="1:4" ht="23">
      <c r="A864" s="105">
        <v>863</v>
      </c>
      <c r="B864" s="105" t="s">
        <v>2656</v>
      </c>
      <c r="C864" s="105" t="s">
        <v>2657</v>
      </c>
      <c r="D864" s="105"/>
    </row>
    <row r="865" spans="1:4" ht="23">
      <c r="A865" s="105">
        <v>864</v>
      </c>
      <c r="B865" s="105" t="s">
        <v>2658</v>
      </c>
      <c r="C865" s="105" t="s">
        <v>2659</v>
      </c>
      <c r="D865" s="105"/>
    </row>
    <row r="866" spans="1:4" ht="23">
      <c r="A866" s="105">
        <v>865</v>
      </c>
      <c r="B866" s="105" t="s">
        <v>2660</v>
      </c>
      <c r="C866" s="105" t="s">
        <v>2661</v>
      </c>
      <c r="D866" s="105"/>
    </row>
    <row r="867" spans="1:4" ht="23">
      <c r="A867" s="105">
        <v>866</v>
      </c>
      <c r="B867" s="105" t="s">
        <v>2662</v>
      </c>
      <c r="C867" s="105" t="s">
        <v>2663</v>
      </c>
      <c r="D867" s="105"/>
    </row>
    <row r="868" spans="1:4" ht="46">
      <c r="A868" s="105">
        <v>867</v>
      </c>
      <c r="B868" s="105" t="s">
        <v>2664</v>
      </c>
      <c r="C868" s="105" t="s">
        <v>2665</v>
      </c>
      <c r="D868" s="105"/>
    </row>
    <row r="869" spans="1:4" ht="23">
      <c r="A869" s="105">
        <v>868</v>
      </c>
      <c r="B869" s="105" t="s">
        <v>2666</v>
      </c>
      <c r="C869" s="105" t="s">
        <v>2667</v>
      </c>
      <c r="D869" s="105"/>
    </row>
    <row r="870" spans="1:4" ht="23">
      <c r="A870" s="105">
        <v>869</v>
      </c>
      <c r="B870" s="105" t="s">
        <v>2668</v>
      </c>
      <c r="C870" s="105" t="s">
        <v>2669</v>
      </c>
      <c r="D870" s="105"/>
    </row>
    <row r="871" spans="1:4" ht="23">
      <c r="A871" s="105">
        <v>870</v>
      </c>
      <c r="B871" s="105" t="s">
        <v>2670</v>
      </c>
      <c r="C871" s="105" t="s">
        <v>2089</v>
      </c>
      <c r="D871" s="105"/>
    </row>
    <row r="872" spans="1:4" ht="23">
      <c r="A872" s="105">
        <v>871</v>
      </c>
      <c r="B872" s="105" t="s">
        <v>2671</v>
      </c>
      <c r="C872" s="105" t="s">
        <v>2672</v>
      </c>
      <c r="D872" s="105"/>
    </row>
    <row r="873" spans="1:4" ht="23">
      <c r="A873" s="105">
        <v>872</v>
      </c>
      <c r="B873" s="105" t="s">
        <v>2673</v>
      </c>
      <c r="C873" s="105" t="s">
        <v>2674</v>
      </c>
      <c r="D873" s="105"/>
    </row>
    <row r="874" spans="1:4" ht="23">
      <c r="A874" s="105">
        <v>873</v>
      </c>
      <c r="B874" s="105" t="s">
        <v>2675</v>
      </c>
      <c r="C874" s="105" t="s">
        <v>2676</v>
      </c>
      <c r="D874" s="105"/>
    </row>
    <row r="875" spans="1:4" ht="23">
      <c r="A875" s="105">
        <v>874</v>
      </c>
      <c r="B875" s="105" t="s">
        <v>2677</v>
      </c>
      <c r="C875" s="105" t="s">
        <v>2678</v>
      </c>
      <c r="D875" s="105"/>
    </row>
    <row r="876" spans="1:4" ht="23">
      <c r="A876" s="105">
        <v>875</v>
      </c>
      <c r="B876" s="105" t="s">
        <v>2679</v>
      </c>
      <c r="C876" s="105" t="s">
        <v>2680</v>
      </c>
      <c r="D876" s="105"/>
    </row>
    <row r="877" spans="1:4" ht="23">
      <c r="A877" s="105">
        <v>876</v>
      </c>
      <c r="B877" s="105" t="s">
        <v>2681</v>
      </c>
      <c r="C877" s="105" t="s">
        <v>2682</v>
      </c>
      <c r="D877" s="105"/>
    </row>
    <row r="878" spans="1:4" ht="46">
      <c r="A878" s="105">
        <v>877</v>
      </c>
      <c r="B878" s="105" t="s">
        <v>2683</v>
      </c>
      <c r="C878" s="105" t="s">
        <v>2684</v>
      </c>
      <c r="D878" s="105"/>
    </row>
    <row r="879" spans="1:4" ht="23">
      <c r="A879" s="105">
        <v>878</v>
      </c>
      <c r="B879" s="105" t="s">
        <v>2685</v>
      </c>
      <c r="C879" s="105" t="s">
        <v>2686</v>
      </c>
      <c r="D879" s="105"/>
    </row>
    <row r="880" spans="1:4" ht="23">
      <c r="A880" s="105">
        <v>879</v>
      </c>
      <c r="B880" s="105" t="s">
        <v>2687</v>
      </c>
      <c r="C880" s="105" t="s">
        <v>2688</v>
      </c>
      <c r="D880" s="105"/>
    </row>
    <row r="881" spans="1:4" ht="23">
      <c r="A881" s="105">
        <v>880</v>
      </c>
      <c r="B881" s="105" t="s">
        <v>2689</v>
      </c>
      <c r="C881" s="105" t="s">
        <v>2690</v>
      </c>
      <c r="D881" s="105"/>
    </row>
    <row r="882" spans="1:4" ht="23">
      <c r="A882" s="105">
        <v>881</v>
      </c>
      <c r="B882" s="105" t="s">
        <v>2691</v>
      </c>
      <c r="C882" s="105" t="s">
        <v>2692</v>
      </c>
      <c r="D882" s="105"/>
    </row>
    <row r="883" spans="1:4" ht="23">
      <c r="A883" s="105">
        <v>882</v>
      </c>
      <c r="B883" s="105" t="s">
        <v>2693</v>
      </c>
      <c r="C883" s="105" t="s">
        <v>2694</v>
      </c>
      <c r="D883" s="105"/>
    </row>
    <row r="884" spans="1:4" ht="23">
      <c r="A884" s="105">
        <v>883</v>
      </c>
      <c r="B884" s="105" t="s">
        <v>2695</v>
      </c>
      <c r="C884" s="105" t="s">
        <v>2696</v>
      </c>
      <c r="D884" s="105"/>
    </row>
    <row r="885" spans="1:4" ht="23">
      <c r="A885" s="105">
        <v>884</v>
      </c>
      <c r="B885" s="105" t="s">
        <v>2697</v>
      </c>
      <c r="C885" s="105" t="s">
        <v>2698</v>
      </c>
      <c r="D885" s="105"/>
    </row>
    <row r="886" spans="1:4" ht="23">
      <c r="A886" s="105">
        <v>885</v>
      </c>
      <c r="B886" s="105" t="s">
        <v>2699</v>
      </c>
      <c r="C886" s="105" t="s">
        <v>2700</v>
      </c>
      <c r="D886" s="105"/>
    </row>
    <row r="887" spans="1:4" ht="23">
      <c r="A887" s="105">
        <v>886</v>
      </c>
      <c r="B887" s="105" t="s">
        <v>2701</v>
      </c>
      <c r="C887" s="105" t="s">
        <v>2702</v>
      </c>
      <c r="D887" s="105"/>
    </row>
    <row r="888" spans="1:4" ht="23">
      <c r="A888" s="105">
        <v>887</v>
      </c>
      <c r="B888" s="105" t="s">
        <v>2703</v>
      </c>
      <c r="C888" s="105" t="s">
        <v>2704</v>
      </c>
      <c r="D888" s="105"/>
    </row>
    <row r="889" spans="1:4" ht="23">
      <c r="A889" s="105">
        <v>888</v>
      </c>
      <c r="B889" s="105" t="s">
        <v>2705</v>
      </c>
      <c r="C889" s="105" t="s">
        <v>2706</v>
      </c>
      <c r="D889" s="105"/>
    </row>
    <row r="890" spans="1:4" ht="23">
      <c r="A890" s="105">
        <v>889</v>
      </c>
      <c r="B890" s="105" t="s">
        <v>2707</v>
      </c>
      <c r="C890" s="105" t="s">
        <v>2708</v>
      </c>
      <c r="D890" s="105"/>
    </row>
    <row r="891" spans="1:4" ht="23">
      <c r="A891" s="105">
        <v>890</v>
      </c>
      <c r="B891" s="105" t="s">
        <v>2709</v>
      </c>
      <c r="C891" s="105" t="s">
        <v>2710</v>
      </c>
      <c r="D891" s="105"/>
    </row>
    <row r="892" spans="1:4" ht="23">
      <c r="A892" s="105">
        <v>891</v>
      </c>
      <c r="B892" s="105" t="s">
        <v>2711</v>
      </c>
      <c r="C892" s="105" t="s">
        <v>2712</v>
      </c>
      <c r="D892" s="105"/>
    </row>
    <row r="893" spans="1:4" ht="23">
      <c r="A893" s="105">
        <v>892</v>
      </c>
      <c r="B893" s="105" t="s">
        <v>2713</v>
      </c>
      <c r="C893" s="105" t="s">
        <v>2714</v>
      </c>
      <c r="D893" s="105"/>
    </row>
    <row r="894" spans="1:4" ht="23">
      <c r="A894" s="105">
        <v>893</v>
      </c>
      <c r="B894" s="105" t="s">
        <v>2715</v>
      </c>
      <c r="C894" s="105" t="s">
        <v>2716</v>
      </c>
      <c r="D894" s="105"/>
    </row>
    <row r="895" spans="1:4" ht="23">
      <c r="A895" s="105">
        <v>894</v>
      </c>
      <c r="B895" s="105" t="s">
        <v>2717</v>
      </c>
      <c r="C895" s="105" t="s">
        <v>2718</v>
      </c>
      <c r="D895" s="105"/>
    </row>
    <row r="896" spans="1:4" ht="23">
      <c r="A896" s="105">
        <v>895</v>
      </c>
      <c r="B896" s="105" t="s">
        <v>2719</v>
      </c>
      <c r="C896" s="105" t="s">
        <v>2720</v>
      </c>
      <c r="D896" s="105"/>
    </row>
    <row r="897" spans="1:4" ht="23">
      <c r="A897" s="105">
        <v>896</v>
      </c>
      <c r="B897" s="105" t="s">
        <v>2721</v>
      </c>
      <c r="C897" s="105" t="s">
        <v>2722</v>
      </c>
      <c r="D897" s="105"/>
    </row>
    <row r="898" spans="1:4" ht="23">
      <c r="A898" s="105">
        <v>897</v>
      </c>
      <c r="B898" s="105" t="s">
        <v>2723</v>
      </c>
      <c r="C898" s="105" t="s">
        <v>2724</v>
      </c>
      <c r="D898" s="105"/>
    </row>
    <row r="899" spans="1:4" ht="23">
      <c r="A899" s="105">
        <v>898</v>
      </c>
      <c r="B899" s="105" t="s">
        <v>2725</v>
      </c>
      <c r="C899" s="105" t="s">
        <v>4063</v>
      </c>
      <c r="D899" s="105"/>
    </row>
    <row r="900" spans="1:4" ht="23">
      <c r="A900" s="105">
        <v>899</v>
      </c>
      <c r="B900" s="105" t="s">
        <v>2726</v>
      </c>
      <c r="C900" s="105" t="s">
        <v>2727</v>
      </c>
      <c r="D900" s="105"/>
    </row>
    <row r="901" spans="1:4" ht="23">
      <c r="A901" s="105">
        <v>900</v>
      </c>
      <c r="B901" s="105" t="s">
        <v>2728</v>
      </c>
      <c r="C901" s="105" t="s">
        <v>2729</v>
      </c>
      <c r="D901" s="105"/>
    </row>
    <row r="902" spans="1:4" ht="23">
      <c r="A902" s="105">
        <v>901</v>
      </c>
      <c r="B902" s="105" t="s">
        <v>2730</v>
      </c>
      <c r="C902" s="105" t="s">
        <v>2731</v>
      </c>
      <c r="D902" s="105"/>
    </row>
    <row r="903" spans="1:4" ht="23">
      <c r="A903" s="105">
        <v>902</v>
      </c>
      <c r="B903" s="105" t="s">
        <v>2732</v>
      </c>
      <c r="C903" s="105" t="s">
        <v>2733</v>
      </c>
      <c r="D903" s="105"/>
    </row>
    <row r="904" spans="1:4" ht="23">
      <c r="A904" s="105">
        <v>903</v>
      </c>
      <c r="B904" s="105" t="s">
        <v>2734</v>
      </c>
      <c r="C904" s="105" t="s">
        <v>2735</v>
      </c>
      <c r="D904" s="105"/>
    </row>
    <row r="905" spans="1:4" ht="23">
      <c r="A905" s="105">
        <v>904</v>
      </c>
      <c r="B905" s="105" t="s">
        <v>2736</v>
      </c>
      <c r="C905" s="105" t="s">
        <v>2737</v>
      </c>
      <c r="D905" s="105"/>
    </row>
    <row r="906" spans="1:4" ht="46">
      <c r="A906" s="105">
        <v>905</v>
      </c>
      <c r="B906" s="105" t="s">
        <v>2738</v>
      </c>
      <c r="C906" s="105" t="s">
        <v>2739</v>
      </c>
      <c r="D906" s="105"/>
    </row>
    <row r="907" spans="1:4" ht="46">
      <c r="A907" s="105">
        <v>906</v>
      </c>
      <c r="B907" s="105" t="s">
        <v>2740</v>
      </c>
      <c r="C907" s="105" t="s">
        <v>2741</v>
      </c>
      <c r="D907" s="105"/>
    </row>
    <row r="908" spans="1:4" ht="46">
      <c r="A908" s="105">
        <v>907</v>
      </c>
      <c r="B908" s="105" t="s">
        <v>2742</v>
      </c>
      <c r="C908" s="105" t="s">
        <v>2743</v>
      </c>
      <c r="D908" s="105"/>
    </row>
    <row r="909" spans="1:4" ht="46">
      <c r="A909" s="105">
        <v>908</v>
      </c>
      <c r="B909" s="105" t="s">
        <v>2744</v>
      </c>
      <c r="C909" s="105" t="s">
        <v>2745</v>
      </c>
      <c r="D909" s="105"/>
    </row>
    <row r="910" spans="1:4" ht="46">
      <c r="A910" s="105">
        <v>909</v>
      </c>
      <c r="B910" s="105" t="s">
        <v>2746</v>
      </c>
      <c r="C910" s="105" t="s">
        <v>2747</v>
      </c>
      <c r="D910" s="105"/>
    </row>
    <row r="911" spans="1:4" ht="46">
      <c r="A911" s="105">
        <v>910</v>
      </c>
      <c r="B911" s="105" t="s">
        <v>2748</v>
      </c>
      <c r="C911" s="105" t="s">
        <v>2749</v>
      </c>
      <c r="D911" s="105"/>
    </row>
    <row r="912" spans="1:4" ht="46">
      <c r="A912" s="105">
        <v>911</v>
      </c>
      <c r="B912" s="105" t="s">
        <v>2750</v>
      </c>
      <c r="C912" s="105" t="s">
        <v>2751</v>
      </c>
      <c r="D912" s="105"/>
    </row>
    <row r="913" spans="1:4" ht="46">
      <c r="A913" s="105">
        <v>912</v>
      </c>
      <c r="B913" s="105" t="s">
        <v>2752</v>
      </c>
      <c r="C913" s="105" t="s">
        <v>2753</v>
      </c>
      <c r="D913" s="105"/>
    </row>
    <row r="914" spans="1:4" ht="69">
      <c r="A914" s="105">
        <v>913</v>
      </c>
      <c r="B914" s="105" t="s">
        <v>2754</v>
      </c>
      <c r="C914" s="105" t="s">
        <v>2755</v>
      </c>
      <c r="D914" s="105"/>
    </row>
    <row r="915" spans="1:4" ht="69">
      <c r="A915" s="105">
        <v>914</v>
      </c>
      <c r="B915" s="105" t="s">
        <v>2756</v>
      </c>
      <c r="C915" s="105" t="s">
        <v>2757</v>
      </c>
      <c r="D915" s="105"/>
    </row>
    <row r="916" spans="1:4" ht="69">
      <c r="A916" s="105">
        <v>915</v>
      </c>
      <c r="B916" s="105" t="s">
        <v>2758</v>
      </c>
      <c r="C916" s="105" t="s">
        <v>2759</v>
      </c>
      <c r="D916" s="105"/>
    </row>
    <row r="917" spans="1:4" ht="69">
      <c r="A917" s="105">
        <v>916</v>
      </c>
      <c r="B917" s="105" t="s">
        <v>2760</v>
      </c>
      <c r="C917" s="105" t="s">
        <v>2761</v>
      </c>
      <c r="D917" s="105"/>
    </row>
    <row r="918" spans="1:4" ht="69">
      <c r="A918" s="105">
        <v>917</v>
      </c>
      <c r="B918" s="105" t="s">
        <v>2762</v>
      </c>
      <c r="C918" s="105" t="s">
        <v>2763</v>
      </c>
      <c r="D918" s="105"/>
    </row>
    <row r="919" spans="1:4" ht="46">
      <c r="A919" s="105">
        <v>918</v>
      </c>
      <c r="B919" s="105" t="s">
        <v>2764</v>
      </c>
      <c r="C919" s="105" t="s">
        <v>2765</v>
      </c>
      <c r="D919" s="105"/>
    </row>
    <row r="920" spans="1:4" ht="46">
      <c r="A920" s="105">
        <v>919</v>
      </c>
      <c r="B920" s="105" t="s">
        <v>2766</v>
      </c>
      <c r="C920" s="105" t="s">
        <v>2767</v>
      </c>
      <c r="D920" s="105"/>
    </row>
    <row r="921" spans="1:4" ht="46">
      <c r="A921" s="105">
        <v>920</v>
      </c>
      <c r="B921" s="105" t="s">
        <v>2768</v>
      </c>
      <c r="C921" s="105" t="s">
        <v>2769</v>
      </c>
      <c r="D921" s="105"/>
    </row>
    <row r="922" spans="1:4" ht="23">
      <c r="A922" s="105">
        <v>921</v>
      </c>
      <c r="B922" s="105" t="s">
        <v>2770</v>
      </c>
      <c r="C922" s="105" t="s">
        <v>2771</v>
      </c>
      <c r="D922" s="105"/>
    </row>
    <row r="923" spans="1:4" ht="23">
      <c r="A923" s="105">
        <v>922</v>
      </c>
      <c r="B923" s="105" t="s">
        <v>2772</v>
      </c>
      <c r="C923" s="105" t="s">
        <v>2773</v>
      </c>
      <c r="D923" s="105"/>
    </row>
    <row r="924" spans="1:4" ht="23">
      <c r="A924" s="105">
        <v>923</v>
      </c>
      <c r="B924" s="105" t="s">
        <v>2774</v>
      </c>
      <c r="C924" s="105" t="s">
        <v>2775</v>
      </c>
      <c r="D924" s="105"/>
    </row>
    <row r="925" spans="1:4" ht="23">
      <c r="A925" s="105">
        <v>924</v>
      </c>
      <c r="B925" s="105" t="s">
        <v>2776</v>
      </c>
      <c r="C925" s="105" t="s">
        <v>2777</v>
      </c>
      <c r="D925" s="105"/>
    </row>
    <row r="926" spans="1:4" ht="23">
      <c r="A926" s="105">
        <v>925</v>
      </c>
      <c r="B926" s="105" t="s">
        <v>2778</v>
      </c>
      <c r="C926" s="105" t="s">
        <v>2779</v>
      </c>
      <c r="D926" s="105"/>
    </row>
    <row r="927" spans="1:4" ht="23">
      <c r="A927" s="105">
        <v>926</v>
      </c>
      <c r="B927" s="105" t="s">
        <v>2780</v>
      </c>
      <c r="C927" s="105" t="s">
        <v>1367</v>
      </c>
      <c r="D927" s="105"/>
    </row>
    <row r="928" spans="1:4" ht="23">
      <c r="A928" s="105">
        <v>927</v>
      </c>
      <c r="B928" s="105" t="s">
        <v>2781</v>
      </c>
      <c r="C928" s="105" t="s">
        <v>2782</v>
      </c>
      <c r="D928" s="105"/>
    </row>
    <row r="929" spans="1:4" ht="23">
      <c r="A929" s="105">
        <v>928</v>
      </c>
      <c r="B929" s="105" t="s">
        <v>2783</v>
      </c>
      <c r="C929" s="105" t="s">
        <v>1495</v>
      </c>
      <c r="D929" s="105"/>
    </row>
    <row r="930" spans="1:4" ht="23">
      <c r="A930" s="105">
        <v>929</v>
      </c>
      <c r="B930" s="105" t="s">
        <v>2784</v>
      </c>
      <c r="C930" s="105" t="s">
        <v>2785</v>
      </c>
      <c r="D930" s="105"/>
    </row>
    <row r="931" spans="1:4" ht="23">
      <c r="A931" s="105">
        <v>930</v>
      </c>
      <c r="B931" s="105" t="s">
        <v>2786</v>
      </c>
      <c r="C931" s="105" t="s">
        <v>2787</v>
      </c>
      <c r="D931" s="105"/>
    </row>
    <row r="932" spans="1:4" ht="23">
      <c r="A932" s="105">
        <v>931</v>
      </c>
      <c r="B932" s="105" t="s">
        <v>2788</v>
      </c>
      <c r="C932" s="105" t="s">
        <v>2789</v>
      </c>
      <c r="D932" s="105"/>
    </row>
    <row r="933" spans="1:4" ht="23">
      <c r="A933" s="105">
        <v>932</v>
      </c>
      <c r="B933" s="105" t="s">
        <v>2790</v>
      </c>
      <c r="C933" s="105" t="s">
        <v>2791</v>
      </c>
      <c r="D933" s="105"/>
    </row>
    <row r="934" spans="1:4" ht="23">
      <c r="A934" s="105">
        <v>933</v>
      </c>
      <c r="B934" s="105" t="s">
        <v>2792</v>
      </c>
      <c r="C934" s="105" t="s">
        <v>2793</v>
      </c>
      <c r="D934" s="105"/>
    </row>
    <row r="935" spans="1:4" ht="23">
      <c r="A935" s="105">
        <v>934</v>
      </c>
      <c r="B935" s="105" t="s">
        <v>2794</v>
      </c>
      <c r="C935" s="105" t="s">
        <v>2795</v>
      </c>
      <c r="D935" s="105"/>
    </row>
    <row r="936" spans="1:4" ht="23">
      <c r="A936" s="105">
        <v>935</v>
      </c>
      <c r="B936" s="105" t="s">
        <v>2796</v>
      </c>
      <c r="C936" s="105" t="s">
        <v>2797</v>
      </c>
      <c r="D936" s="105"/>
    </row>
    <row r="937" spans="1:4" ht="46">
      <c r="A937" s="105">
        <v>936</v>
      </c>
      <c r="B937" s="105" t="s">
        <v>2798</v>
      </c>
      <c r="C937" s="105" t="s">
        <v>2799</v>
      </c>
      <c r="D937" s="105"/>
    </row>
    <row r="938" spans="1:4" ht="46">
      <c r="A938" s="105">
        <v>937</v>
      </c>
      <c r="B938" s="105" t="s">
        <v>2800</v>
      </c>
      <c r="C938" s="105" t="s">
        <v>2801</v>
      </c>
      <c r="D938" s="105"/>
    </row>
    <row r="939" spans="1:4" ht="23">
      <c r="A939" s="105">
        <v>938</v>
      </c>
      <c r="B939" s="105" t="s">
        <v>2802</v>
      </c>
      <c r="C939" s="105" t="s">
        <v>2803</v>
      </c>
      <c r="D939" s="105"/>
    </row>
    <row r="940" spans="1:4" ht="23">
      <c r="A940" s="105">
        <v>939</v>
      </c>
      <c r="B940" s="105" t="s">
        <v>2804</v>
      </c>
      <c r="C940" s="105" t="s">
        <v>2805</v>
      </c>
      <c r="D940" s="105"/>
    </row>
    <row r="941" spans="1:4" ht="23">
      <c r="A941" s="105">
        <v>940</v>
      </c>
      <c r="B941" s="105" t="s">
        <v>2806</v>
      </c>
      <c r="C941" s="105" t="s">
        <v>2807</v>
      </c>
      <c r="D941" s="105"/>
    </row>
    <row r="942" spans="1:4" ht="23">
      <c r="A942" s="105">
        <v>941</v>
      </c>
      <c r="B942" s="105" t="s">
        <v>2808</v>
      </c>
      <c r="C942" s="105" t="s">
        <v>2809</v>
      </c>
      <c r="D942" s="105"/>
    </row>
    <row r="943" spans="1:4" ht="23">
      <c r="A943" s="105">
        <v>942</v>
      </c>
      <c r="B943" s="105" t="s">
        <v>2810</v>
      </c>
      <c r="C943" s="105" t="s">
        <v>2811</v>
      </c>
      <c r="D943" s="105"/>
    </row>
    <row r="944" spans="1:4" ht="23">
      <c r="A944" s="105">
        <v>943</v>
      </c>
      <c r="B944" s="105" t="s">
        <v>2812</v>
      </c>
      <c r="C944" s="105" t="s">
        <v>2813</v>
      </c>
      <c r="D944" s="105"/>
    </row>
    <row r="945" spans="1:4" ht="23">
      <c r="A945" s="105">
        <v>944</v>
      </c>
      <c r="B945" s="105" t="s">
        <v>2814</v>
      </c>
      <c r="C945" s="105" t="s">
        <v>2815</v>
      </c>
      <c r="D945" s="105"/>
    </row>
    <row r="946" spans="1:4" ht="23">
      <c r="A946" s="105">
        <v>945</v>
      </c>
      <c r="B946" s="105" t="s">
        <v>2816</v>
      </c>
      <c r="C946" s="105" t="s">
        <v>2817</v>
      </c>
      <c r="D946" s="105"/>
    </row>
    <row r="947" spans="1:4" ht="23">
      <c r="A947" s="105">
        <v>946</v>
      </c>
      <c r="B947" s="105" t="s">
        <v>2820</v>
      </c>
      <c r="C947" s="105" t="s">
        <v>2821</v>
      </c>
      <c r="D947" s="105"/>
    </row>
    <row r="948" spans="1:4" ht="23">
      <c r="A948" s="105">
        <v>947</v>
      </c>
      <c r="B948" s="105" t="s">
        <v>2822</v>
      </c>
      <c r="C948" s="105" t="s">
        <v>2823</v>
      </c>
      <c r="D948" s="105"/>
    </row>
    <row r="949" spans="1:4" ht="23">
      <c r="A949" s="105">
        <v>948</v>
      </c>
      <c r="B949" s="105" t="s">
        <v>2824</v>
      </c>
      <c r="C949" s="105" t="s">
        <v>2825</v>
      </c>
      <c r="D949" s="105"/>
    </row>
    <row r="950" spans="1:4" ht="23">
      <c r="A950" s="105">
        <v>949</v>
      </c>
      <c r="B950" s="105" t="s">
        <v>2826</v>
      </c>
      <c r="C950" s="105" t="s">
        <v>2827</v>
      </c>
      <c r="D950" s="105"/>
    </row>
    <row r="951" spans="1:4" ht="23">
      <c r="A951" s="105">
        <v>950</v>
      </c>
      <c r="B951" s="105" t="s">
        <v>2828</v>
      </c>
      <c r="C951" s="105" t="s">
        <v>2829</v>
      </c>
      <c r="D951" s="105"/>
    </row>
    <row r="952" spans="1:4" ht="23">
      <c r="A952" s="105">
        <v>951</v>
      </c>
      <c r="B952" s="105" t="s">
        <v>2830</v>
      </c>
      <c r="C952" s="105" t="s">
        <v>2831</v>
      </c>
      <c r="D952" s="105"/>
    </row>
    <row r="953" spans="1:4" ht="23">
      <c r="A953" s="105">
        <v>952</v>
      </c>
      <c r="B953" s="105" t="s">
        <v>2832</v>
      </c>
      <c r="C953" s="105" t="s">
        <v>2833</v>
      </c>
      <c r="D953" s="105"/>
    </row>
    <row r="954" spans="1:4" ht="23">
      <c r="A954" s="105">
        <v>953</v>
      </c>
      <c r="B954" s="105" t="s">
        <v>2834</v>
      </c>
      <c r="C954" s="105" t="s">
        <v>2835</v>
      </c>
      <c r="D954" s="105"/>
    </row>
    <row r="955" spans="1:4" ht="23">
      <c r="A955" s="105">
        <v>954</v>
      </c>
      <c r="B955" s="105" t="s">
        <v>2836</v>
      </c>
      <c r="C955" s="105" t="s">
        <v>2837</v>
      </c>
      <c r="D955" s="105"/>
    </row>
    <row r="956" spans="1:4" ht="23">
      <c r="A956" s="105">
        <v>955</v>
      </c>
      <c r="B956" s="105" t="s">
        <v>2838</v>
      </c>
      <c r="C956" s="105" t="s">
        <v>2839</v>
      </c>
      <c r="D956" s="105"/>
    </row>
    <row r="957" spans="1:4" ht="23">
      <c r="A957" s="105">
        <v>956</v>
      </c>
      <c r="B957" s="105" t="s">
        <v>2840</v>
      </c>
      <c r="C957" s="105" t="s">
        <v>2841</v>
      </c>
      <c r="D957" s="105"/>
    </row>
    <row r="958" spans="1:4" ht="23">
      <c r="A958" s="105">
        <v>957</v>
      </c>
      <c r="B958" s="105" t="s">
        <v>2842</v>
      </c>
      <c r="C958" s="105" t="s">
        <v>2843</v>
      </c>
      <c r="D958" s="105"/>
    </row>
    <row r="959" spans="1:4" ht="23">
      <c r="A959" s="105">
        <v>958</v>
      </c>
      <c r="B959" s="105" t="s">
        <v>2844</v>
      </c>
      <c r="C959" s="105" t="s">
        <v>2845</v>
      </c>
      <c r="D959" s="105"/>
    </row>
    <row r="960" spans="1:4" ht="23">
      <c r="A960" s="105">
        <v>959</v>
      </c>
      <c r="B960" s="105" t="s">
        <v>2846</v>
      </c>
      <c r="C960" s="105" t="s">
        <v>2847</v>
      </c>
      <c r="D960" s="105"/>
    </row>
    <row r="961" spans="1:4" ht="23">
      <c r="A961" s="105">
        <v>960</v>
      </c>
      <c r="B961" s="105" t="s">
        <v>2848</v>
      </c>
      <c r="C961" s="105" t="s">
        <v>2849</v>
      </c>
      <c r="D961" s="105"/>
    </row>
    <row r="962" spans="1:4" ht="23">
      <c r="A962" s="105">
        <v>961</v>
      </c>
      <c r="B962" s="105" t="s">
        <v>2850</v>
      </c>
      <c r="C962" s="105" t="s">
        <v>2851</v>
      </c>
      <c r="D962" s="105"/>
    </row>
    <row r="963" spans="1:4" ht="23">
      <c r="A963" s="105">
        <v>962</v>
      </c>
      <c r="B963" s="105" t="s">
        <v>2852</v>
      </c>
      <c r="C963" s="105" t="s">
        <v>2853</v>
      </c>
      <c r="D963" s="105"/>
    </row>
    <row r="964" spans="1:4" ht="23">
      <c r="A964" s="105">
        <v>963</v>
      </c>
      <c r="B964" s="105" t="s">
        <v>2854</v>
      </c>
      <c r="C964" s="105" t="s">
        <v>2855</v>
      </c>
      <c r="D964" s="105"/>
    </row>
    <row r="965" spans="1:4" ht="23">
      <c r="A965" s="105">
        <v>964</v>
      </c>
      <c r="B965" s="105" t="s">
        <v>2856</v>
      </c>
      <c r="C965" s="105" t="s">
        <v>2857</v>
      </c>
      <c r="D965" s="105"/>
    </row>
    <row r="966" spans="1:4" ht="23">
      <c r="A966" s="105">
        <v>965</v>
      </c>
      <c r="B966" s="105" t="s">
        <v>2858</v>
      </c>
      <c r="C966" s="105" t="s">
        <v>2859</v>
      </c>
      <c r="D966" s="105"/>
    </row>
    <row r="967" spans="1:4" ht="23">
      <c r="A967" s="105">
        <v>966</v>
      </c>
      <c r="B967" s="105" t="s">
        <v>2860</v>
      </c>
      <c r="C967" s="105" t="s">
        <v>2861</v>
      </c>
      <c r="D967" s="105"/>
    </row>
    <row r="968" spans="1:4" ht="23">
      <c r="A968" s="105">
        <v>967</v>
      </c>
      <c r="B968" s="105" t="s">
        <v>2862</v>
      </c>
      <c r="C968" s="105" t="s">
        <v>2863</v>
      </c>
      <c r="D968" s="105"/>
    </row>
    <row r="969" spans="1:4" ht="23">
      <c r="A969" s="105">
        <v>968</v>
      </c>
      <c r="B969" s="105" t="s">
        <v>2864</v>
      </c>
      <c r="C969" s="105" t="s">
        <v>2865</v>
      </c>
      <c r="D969" s="105"/>
    </row>
    <row r="970" spans="1:4" ht="23">
      <c r="A970" s="105">
        <v>969</v>
      </c>
      <c r="B970" s="105" t="s">
        <v>2866</v>
      </c>
      <c r="C970" s="105" t="s">
        <v>2867</v>
      </c>
      <c r="D970" s="105"/>
    </row>
    <row r="971" spans="1:4" ht="23">
      <c r="A971" s="105">
        <v>970</v>
      </c>
      <c r="B971" s="105" t="s">
        <v>2868</v>
      </c>
      <c r="C971" s="105" t="s">
        <v>2869</v>
      </c>
      <c r="D971" s="105"/>
    </row>
  </sheetData>
  <autoFilter ref="A1:D971" xr:uid="{00000000-0009-0000-0000-000007000000}"/>
  <phoneticPr fontId="35" type="noConversion"/>
  <conditionalFormatting sqref="B1:B971">
    <cfRule type="duplicateValues" dxfId="1" priority="1"/>
  </conditionalFormatting>
  <conditionalFormatting sqref="C1:C185">
    <cfRule type="duplicateValues" dxfId="0" priority="2"/>
  </conditionalFormatting>
  <hyperlinks>
    <hyperlink ref="C457" r:id="rId1" xr:uid="{00000000-0004-0000-07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客户评审观点及问题-机械">
    <tabColor rgb="FFFFFFFF"/>
  </sheetPr>
  <dimension ref="A1:N201"/>
  <sheetViews>
    <sheetView tabSelected="1" zoomScale="60" zoomScaleNormal="60" workbookViewId="0">
      <selection activeCell="C7" sqref="C7"/>
    </sheetView>
  </sheetViews>
  <sheetFormatPr defaultRowHeight="14"/>
  <cols>
    <col min="1" max="1" width="5.7265625" customWidth="1"/>
    <col min="2" max="2" width="86.6328125" customWidth="1"/>
    <col min="3" max="3" width="23.1796875" customWidth="1"/>
    <col min="5" max="5" width="10.7265625" customWidth="1"/>
    <col min="6" max="6" width="113.7265625" customWidth="1"/>
    <col min="9" max="9" width="13.7265625" customWidth="1"/>
    <col min="10" max="10" width="118.7265625" customWidth="1"/>
    <col min="13" max="13" width="5.7265625" customWidth="1"/>
    <col min="14" max="14" width="123.7265625" customWidth="1"/>
  </cols>
  <sheetData>
    <row r="1" spans="1:14" ht="30" customHeight="1">
      <c r="A1" s="1"/>
      <c r="B1" s="2" t="s">
        <v>0</v>
      </c>
      <c r="C1" s="3"/>
      <c r="E1" s="4"/>
      <c r="F1" s="2" t="s">
        <v>1</v>
      </c>
      <c r="J1" s="2" t="s">
        <v>2</v>
      </c>
      <c r="N1" s="2" t="s">
        <v>3</v>
      </c>
    </row>
    <row r="2" spans="1:14" ht="30" customHeight="1">
      <c r="A2" s="167" t="s">
        <v>4069</v>
      </c>
      <c r="B2" s="139"/>
      <c r="C2" s="3"/>
      <c r="E2" s="165" t="s">
        <v>4069</v>
      </c>
      <c r="F2" s="166"/>
      <c r="I2" s="1"/>
      <c r="J2" s="6" t="s">
        <v>4069</v>
      </c>
    </row>
    <row r="3" spans="1:14" ht="30" customHeight="1">
      <c r="A3" s="1">
        <v>1</v>
      </c>
      <c r="B3" s="3" t="s">
        <v>4</v>
      </c>
      <c r="C3" s="3"/>
      <c r="E3" s="1">
        <v>1</v>
      </c>
      <c r="F3" s="3" t="s">
        <v>5</v>
      </c>
      <c r="I3" s="1" t="s">
        <v>6</v>
      </c>
      <c r="J3" s="3" t="s">
        <v>7</v>
      </c>
      <c r="M3" s="1">
        <v>1</v>
      </c>
      <c r="N3" s="3" t="s">
        <v>4039</v>
      </c>
    </row>
    <row r="4" spans="1:14" ht="30" customHeight="1">
      <c r="A4" s="1">
        <v>2</v>
      </c>
      <c r="B4" s="7" t="s">
        <v>8</v>
      </c>
      <c r="C4" s="3"/>
      <c r="E4" s="1">
        <v>2</v>
      </c>
      <c r="F4" s="3" t="s">
        <v>9</v>
      </c>
      <c r="I4" s="1" t="s">
        <v>6</v>
      </c>
      <c r="J4" s="3" t="s">
        <v>10</v>
      </c>
      <c r="M4" s="1">
        <v>2</v>
      </c>
      <c r="N4" s="3" t="s">
        <v>11</v>
      </c>
    </row>
    <row r="5" spans="1:14" ht="30" customHeight="1">
      <c r="A5" s="1">
        <v>3</v>
      </c>
      <c r="B5" s="3" t="s">
        <v>12</v>
      </c>
      <c r="C5" s="3"/>
      <c r="E5" s="1">
        <v>3</v>
      </c>
      <c r="F5" s="3" t="s">
        <v>13</v>
      </c>
      <c r="I5" s="1" t="s">
        <v>6</v>
      </c>
      <c r="J5" s="3" t="s">
        <v>14</v>
      </c>
      <c r="M5" s="1">
        <v>3</v>
      </c>
      <c r="N5" s="3" t="s">
        <v>15</v>
      </c>
    </row>
    <row r="6" spans="1:14" ht="30" customHeight="1">
      <c r="A6" s="1">
        <v>4</v>
      </c>
      <c r="B6" s="3" t="s">
        <v>16</v>
      </c>
      <c r="C6" s="3"/>
      <c r="E6" s="1">
        <v>4</v>
      </c>
      <c r="F6" s="3" t="s">
        <v>17</v>
      </c>
      <c r="I6" s="1" t="s">
        <v>18</v>
      </c>
      <c r="J6" s="3" t="s">
        <v>19</v>
      </c>
      <c r="M6" s="1">
        <v>4</v>
      </c>
      <c r="N6" s="3" t="s">
        <v>20</v>
      </c>
    </row>
    <row r="7" spans="1:14" ht="30" customHeight="1">
      <c r="A7" s="1">
        <v>5</v>
      </c>
      <c r="B7" s="3" t="s">
        <v>21</v>
      </c>
      <c r="C7" s="3"/>
      <c r="E7" s="1">
        <v>5</v>
      </c>
      <c r="F7" s="3" t="s">
        <v>22</v>
      </c>
      <c r="I7" s="1" t="s">
        <v>18</v>
      </c>
      <c r="J7" s="3" t="s">
        <v>23</v>
      </c>
      <c r="M7" s="1">
        <v>5</v>
      </c>
      <c r="N7" s="8" t="s">
        <v>24</v>
      </c>
    </row>
    <row r="8" spans="1:14" ht="30" customHeight="1">
      <c r="A8" s="1">
        <v>6</v>
      </c>
      <c r="B8" s="3" t="s">
        <v>25</v>
      </c>
      <c r="C8" s="3"/>
      <c r="E8" s="1">
        <v>6</v>
      </c>
      <c r="F8" s="3" t="s">
        <v>26</v>
      </c>
      <c r="I8" s="1" t="s">
        <v>18</v>
      </c>
      <c r="J8" s="3" t="s">
        <v>27</v>
      </c>
      <c r="M8" s="1">
        <v>6</v>
      </c>
      <c r="N8" s="3" t="s">
        <v>28</v>
      </c>
    </row>
    <row r="9" spans="1:14" ht="30" customHeight="1">
      <c r="A9" s="1">
        <v>7</v>
      </c>
      <c r="B9" s="3" t="s">
        <v>29</v>
      </c>
      <c r="C9" s="3"/>
      <c r="E9" s="1">
        <v>7</v>
      </c>
      <c r="F9" s="3" t="s">
        <v>30</v>
      </c>
      <c r="I9" s="1" t="s">
        <v>18</v>
      </c>
      <c r="J9" s="3" t="s">
        <v>31</v>
      </c>
      <c r="M9" s="1">
        <v>7</v>
      </c>
      <c r="N9" s="3" t="s">
        <v>32</v>
      </c>
    </row>
    <row r="10" spans="1:14" ht="30" customHeight="1">
      <c r="A10" s="1">
        <v>8</v>
      </c>
      <c r="B10" s="3" t="s">
        <v>4070</v>
      </c>
      <c r="C10" s="3"/>
      <c r="E10" s="1">
        <v>8</v>
      </c>
      <c r="F10" s="3" t="s">
        <v>33</v>
      </c>
      <c r="I10" s="1" t="s">
        <v>18</v>
      </c>
      <c r="J10" s="3" t="s">
        <v>34</v>
      </c>
      <c r="M10" s="1">
        <v>8</v>
      </c>
      <c r="N10" s="7" t="s">
        <v>35</v>
      </c>
    </row>
    <row r="11" spans="1:14" ht="30" customHeight="1">
      <c r="A11" s="1">
        <v>9</v>
      </c>
      <c r="B11" s="3" t="s">
        <v>36</v>
      </c>
      <c r="C11" s="3"/>
      <c r="E11" s="1">
        <v>9</v>
      </c>
      <c r="F11" s="3" t="s">
        <v>37</v>
      </c>
      <c r="I11" s="1" t="s">
        <v>18</v>
      </c>
      <c r="J11" s="3" t="s">
        <v>38</v>
      </c>
      <c r="M11" s="1">
        <v>9</v>
      </c>
      <c r="N11" s="9" t="s">
        <v>39</v>
      </c>
    </row>
    <row r="12" spans="1:14" ht="30" customHeight="1">
      <c r="A12" s="1">
        <v>10</v>
      </c>
      <c r="B12" s="3" t="s">
        <v>40</v>
      </c>
      <c r="C12" s="3"/>
      <c r="E12" s="1">
        <v>10</v>
      </c>
      <c r="F12" s="3" t="s">
        <v>41</v>
      </c>
      <c r="I12" s="1" t="s">
        <v>18</v>
      </c>
      <c r="J12" s="3" t="s">
        <v>42</v>
      </c>
      <c r="M12" s="1">
        <v>10</v>
      </c>
      <c r="N12" s="3" t="s">
        <v>43</v>
      </c>
    </row>
    <row r="13" spans="1:14" ht="30" customHeight="1">
      <c r="A13" s="1">
        <v>11</v>
      </c>
      <c r="B13" s="3" t="s">
        <v>44</v>
      </c>
      <c r="C13" s="3"/>
      <c r="E13" s="1">
        <v>11</v>
      </c>
      <c r="F13" s="3" t="s">
        <v>45</v>
      </c>
      <c r="I13" s="1" t="s">
        <v>18</v>
      </c>
      <c r="J13" s="3" t="s">
        <v>46</v>
      </c>
      <c r="M13" s="1">
        <v>11</v>
      </c>
      <c r="N13" s="3" t="s">
        <v>47</v>
      </c>
    </row>
    <row r="14" spans="1:14" ht="30" customHeight="1">
      <c r="A14" s="1">
        <v>12</v>
      </c>
      <c r="B14" s="3" t="s">
        <v>48</v>
      </c>
      <c r="C14" s="3"/>
      <c r="E14" s="1">
        <v>12</v>
      </c>
      <c r="F14" s="3" t="s">
        <v>49</v>
      </c>
      <c r="I14" s="1" t="s">
        <v>18</v>
      </c>
      <c r="J14" s="3" t="s">
        <v>50</v>
      </c>
      <c r="M14" s="1">
        <v>12</v>
      </c>
      <c r="N14" s="3" t="s">
        <v>51</v>
      </c>
    </row>
    <row r="15" spans="1:14" ht="30" customHeight="1">
      <c r="A15" s="1">
        <v>13</v>
      </c>
      <c r="B15" s="3" t="s">
        <v>52</v>
      </c>
      <c r="C15" s="3"/>
      <c r="E15" s="1">
        <v>13</v>
      </c>
      <c r="F15" s="3" t="s">
        <v>53</v>
      </c>
      <c r="I15" s="1" t="s">
        <v>18</v>
      </c>
      <c r="J15" s="3" t="s">
        <v>54</v>
      </c>
      <c r="M15" s="1">
        <v>13</v>
      </c>
      <c r="N15" s="3" t="s">
        <v>55</v>
      </c>
    </row>
    <row r="16" spans="1:14" ht="30" customHeight="1">
      <c r="A16" s="1">
        <v>14</v>
      </c>
      <c r="B16" s="3" t="s">
        <v>56</v>
      </c>
      <c r="C16" s="3"/>
      <c r="E16" s="1">
        <v>14</v>
      </c>
      <c r="F16" s="3" t="s">
        <v>57</v>
      </c>
      <c r="I16" s="1" t="s">
        <v>18</v>
      </c>
      <c r="J16" s="3" t="s">
        <v>58</v>
      </c>
      <c r="M16" s="1">
        <v>14</v>
      </c>
      <c r="N16" s="3" t="s">
        <v>59</v>
      </c>
    </row>
    <row r="17" spans="1:14" ht="30" customHeight="1">
      <c r="A17" s="1">
        <v>15</v>
      </c>
      <c r="B17" s="3" t="s">
        <v>60</v>
      </c>
      <c r="C17" s="3"/>
      <c r="E17" s="1">
        <v>15</v>
      </c>
      <c r="F17" s="3" t="s">
        <v>61</v>
      </c>
      <c r="I17" s="1"/>
      <c r="J17" s="3"/>
      <c r="M17" s="1">
        <v>15</v>
      </c>
      <c r="N17" s="3" t="s">
        <v>62</v>
      </c>
    </row>
    <row r="18" spans="1:14" ht="30" customHeight="1">
      <c r="A18" s="1">
        <v>16</v>
      </c>
      <c r="B18" s="3" t="s">
        <v>63</v>
      </c>
      <c r="C18" s="3"/>
      <c r="E18" s="1">
        <v>16</v>
      </c>
      <c r="F18" s="3" t="s">
        <v>64</v>
      </c>
      <c r="I18" s="1"/>
      <c r="J18" s="10" t="s">
        <v>4072</v>
      </c>
      <c r="M18" s="1">
        <v>16</v>
      </c>
      <c r="N18" s="3" t="s">
        <v>65</v>
      </c>
    </row>
    <row r="19" spans="1:14" ht="30" customHeight="1">
      <c r="A19" s="1">
        <v>17</v>
      </c>
      <c r="B19" s="3" t="s">
        <v>66</v>
      </c>
      <c r="C19" s="3"/>
      <c r="E19" s="1">
        <v>17</v>
      </c>
      <c r="F19" s="3" t="s">
        <v>67</v>
      </c>
      <c r="I19" s="1" t="s">
        <v>6</v>
      </c>
      <c r="J19" s="3" t="s">
        <v>68</v>
      </c>
      <c r="M19" s="1">
        <v>17</v>
      </c>
      <c r="N19" s="3" t="s">
        <v>69</v>
      </c>
    </row>
    <row r="20" spans="1:14" ht="30" customHeight="1">
      <c r="A20" s="1">
        <v>18</v>
      </c>
      <c r="B20" s="3" t="s">
        <v>70</v>
      </c>
      <c r="C20" s="3"/>
      <c r="E20" s="1">
        <v>18</v>
      </c>
      <c r="F20" s="3" t="s">
        <v>71</v>
      </c>
      <c r="I20" s="1" t="s">
        <v>6</v>
      </c>
      <c r="J20" s="3" t="s">
        <v>72</v>
      </c>
      <c r="M20" s="1">
        <v>18</v>
      </c>
      <c r="N20" s="3" t="s">
        <v>73</v>
      </c>
    </row>
    <row r="21" spans="1:14" ht="30" customHeight="1">
      <c r="A21" s="1">
        <v>19</v>
      </c>
      <c r="B21" s="3" t="s">
        <v>74</v>
      </c>
      <c r="C21" s="3"/>
      <c r="E21" s="1">
        <v>19</v>
      </c>
      <c r="F21" s="3" t="s">
        <v>75</v>
      </c>
      <c r="I21" s="1" t="s">
        <v>6</v>
      </c>
      <c r="J21" s="3" t="s">
        <v>76</v>
      </c>
      <c r="M21" s="1">
        <v>19</v>
      </c>
      <c r="N21" s="3" t="s">
        <v>77</v>
      </c>
    </row>
    <row r="22" spans="1:14" ht="30" customHeight="1">
      <c r="A22" s="1">
        <v>20</v>
      </c>
      <c r="B22" s="3" t="s">
        <v>78</v>
      </c>
      <c r="C22" s="3"/>
      <c r="E22" s="1">
        <v>20</v>
      </c>
      <c r="F22" s="3" t="s">
        <v>79</v>
      </c>
      <c r="I22" s="1" t="s">
        <v>6</v>
      </c>
      <c r="J22" s="3" t="s">
        <v>80</v>
      </c>
      <c r="M22" s="1">
        <v>20</v>
      </c>
      <c r="N22" s="3" t="s">
        <v>81</v>
      </c>
    </row>
    <row r="23" spans="1:14" ht="30" customHeight="1">
      <c r="A23" s="1">
        <v>21</v>
      </c>
      <c r="B23" s="3" t="s">
        <v>82</v>
      </c>
      <c r="C23" s="3"/>
      <c r="E23" s="1">
        <v>21</v>
      </c>
      <c r="F23" s="3" t="s">
        <v>83</v>
      </c>
      <c r="I23" s="1" t="s">
        <v>6</v>
      </c>
      <c r="J23" s="3" t="s">
        <v>84</v>
      </c>
      <c r="M23" s="1">
        <v>21</v>
      </c>
      <c r="N23" s="3" t="s">
        <v>85</v>
      </c>
    </row>
    <row r="24" spans="1:14" ht="30" customHeight="1">
      <c r="A24" s="1">
        <v>22</v>
      </c>
      <c r="B24" s="3" t="s">
        <v>86</v>
      </c>
      <c r="C24" s="3"/>
      <c r="E24" s="1">
        <v>22</v>
      </c>
      <c r="F24" s="3" t="s">
        <v>87</v>
      </c>
      <c r="I24" s="1" t="s">
        <v>6</v>
      </c>
      <c r="J24" s="3" t="s">
        <v>88</v>
      </c>
      <c r="M24" s="1">
        <v>22</v>
      </c>
      <c r="N24" s="3" t="s">
        <v>89</v>
      </c>
    </row>
    <row r="25" spans="1:14" ht="30" customHeight="1">
      <c r="A25" s="1">
        <v>23</v>
      </c>
      <c r="B25" s="3" t="s">
        <v>90</v>
      </c>
      <c r="C25" s="3"/>
      <c r="E25" s="1">
        <v>23</v>
      </c>
      <c r="F25" s="3" t="s">
        <v>91</v>
      </c>
      <c r="I25" s="1" t="s">
        <v>6</v>
      </c>
      <c r="J25" s="3" t="s">
        <v>92</v>
      </c>
      <c r="M25" s="1">
        <v>23</v>
      </c>
      <c r="N25" s="3" t="s">
        <v>93</v>
      </c>
    </row>
    <row r="26" spans="1:14" ht="30" customHeight="1">
      <c r="A26" s="1">
        <v>24</v>
      </c>
      <c r="B26" s="3" t="s">
        <v>94</v>
      </c>
      <c r="C26" s="3"/>
      <c r="E26" s="1">
        <v>24</v>
      </c>
      <c r="F26" s="3" t="s">
        <v>95</v>
      </c>
      <c r="I26" s="1" t="s">
        <v>6</v>
      </c>
      <c r="J26" s="3" t="s">
        <v>96</v>
      </c>
      <c r="M26" s="1">
        <v>24</v>
      </c>
      <c r="N26" s="11" t="s">
        <v>97</v>
      </c>
    </row>
    <row r="27" spans="1:14" ht="30" customHeight="1">
      <c r="A27" s="1">
        <v>25</v>
      </c>
      <c r="B27" s="3" t="s">
        <v>98</v>
      </c>
      <c r="C27" s="11"/>
      <c r="E27" s="1">
        <v>25</v>
      </c>
      <c r="F27" s="3" t="s">
        <v>4040</v>
      </c>
      <c r="I27" s="1" t="s">
        <v>6</v>
      </c>
      <c r="J27" s="3" t="s">
        <v>99</v>
      </c>
      <c r="M27" s="1">
        <v>25</v>
      </c>
      <c r="N27" s="3" t="s">
        <v>100</v>
      </c>
    </row>
    <row r="28" spans="1:14" ht="30" customHeight="1">
      <c r="A28" s="1">
        <v>26</v>
      </c>
      <c r="B28" s="3" t="s">
        <v>101</v>
      </c>
      <c r="C28" s="3"/>
      <c r="E28" s="1">
        <v>26</v>
      </c>
      <c r="F28" s="3" t="s">
        <v>102</v>
      </c>
      <c r="I28" s="1" t="s">
        <v>18</v>
      </c>
      <c r="J28" s="3" t="s">
        <v>103</v>
      </c>
      <c r="M28" s="1">
        <v>26</v>
      </c>
      <c r="N28" s="3" t="s">
        <v>4041</v>
      </c>
    </row>
    <row r="29" spans="1:14" ht="30" customHeight="1">
      <c r="A29" s="1">
        <v>27</v>
      </c>
      <c r="B29" s="3" t="s">
        <v>104</v>
      </c>
      <c r="C29" s="3"/>
      <c r="E29" s="1">
        <v>27</v>
      </c>
      <c r="F29" s="3" t="s">
        <v>105</v>
      </c>
      <c r="M29" s="1">
        <v>27</v>
      </c>
      <c r="N29" s="3" t="s">
        <v>106</v>
      </c>
    </row>
    <row r="30" spans="1:14" ht="30" customHeight="1">
      <c r="A30" s="1">
        <v>28</v>
      </c>
      <c r="B30" s="3" t="s">
        <v>107</v>
      </c>
      <c r="C30" s="3"/>
      <c r="E30" s="1">
        <v>28</v>
      </c>
      <c r="F30" s="3" t="s">
        <v>108</v>
      </c>
      <c r="M30" s="1">
        <v>28</v>
      </c>
      <c r="N30" s="3" t="s">
        <v>109</v>
      </c>
    </row>
    <row r="31" spans="1:14" ht="30" customHeight="1">
      <c r="A31" s="1">
        <v>29</v>
      </c>
      <c r="B31" s="3" t="s">
        <v>110</v>
      </c>
      <c r="C31" s="3"/>
      <c r="E31" s="1">
        <v>29</v>
      </c>
      <c r="F31" s="3" t="s">
        <v>111</v>
      </c>
      <c r="M31" s="1">
        <v>29</v>
      </c>
      <c r="N31" s="3" t="s">
        <v>112</v>
      </c>
    </row>
    <row r="32" spans="1:14" ht="30" customHeight="1">
      <c r="A32" s="1">
        <v>30</v>
      </c>
      <c r="B32" s="3" t="s">
        <v>113</v>
      </c>
      <c r="C32" s="3"/>
      <c r="E32" s="1">
        <v>30</v>
      </c>
      <c r="F32" s="12" t="s">
        <v>114</v>
      </c>
      <c r="M32" s="1">
        <v>30</v>
      </c>
      <c r="N32" s="3" t="s">
        <v>115</v>
      </c>
    </row>
    <row r="33" spans="1:14" ht="30" customHeight="1">
      <c r="A33" s="1">
        <v>31</v>
      </c>
      <c r="B33" s="3" t="s">
        <v>116</v>
      </c>
      <c r="C33" s="3"/>
      <c r="E33" s="1">
        <v>31</v>
      </c>
      <c r="F33" s="3" t="s">
        <v>117</v>
      </c>
      <c r="M33" s="1">
        <v>31</v>
      </c>
      <c r="N33" s="3" t="s">
        <v>118</v>
      </c>
    </row>
    <row r="34" spans="1:14" ht="30" customHeight="1">
      <c r="A34" s="1">
        <v>32</v>
      </c>
      <c r="B34" s="3" t="s">
        <v>119</v>
      </c>
      <c r="C34" s="3"/>
      <c r="E34" s="1">
        <v>32</v>
      </c>
      <c r="F34" s="13" t="s">
        <v>4071</v>
      </c>
      <c r="M34" s="1">
        <v>32</v>
      </c>
      <c r="N34" s="3" t="s">
        <v>4042</v>
      </c>
    </row>
    <row r="35" spans="1:14" ht="30" customHeight="1">
      <c r="A35" s="1">
        <v>33</v>
      </c>
      <c r="B35" s="3" t="s">
        <v>120</v>
      </c>
      <c r="C35" s="3"/>
      <c r="E35" s="1">
        <v>33</v>
      </c>
      <c r="F35" s="13" t="s">
        <v>121</v>
      </c>
      <c r="M35" s="1">
        <v>33</v>
      </c>
      <c r="N35" s="3" t="s">
        <v>122</v>
      </c>
    </row>
    <row r="36" spans="1:14" ht="30" customHeight="1">
      <c r="A36" s="1">
        <v>34</v>
      </c>
      <c r="B36" s="3" t="s">
        <v>123</v>
      </c>
      <c r="C36" s="3"/>
      <c r="E36" s="1">
        <v>34</v>
      </c>
      <c r="F36" s="9" t="s">
        <v>124</v>
      </c>
      <c r="M36" s="1">
        <v>34</v>
      </c>
      <c r="N36" s="3" t="s">
        <v>125</v>
      </c>
    </row>
    <row r="37" spans="1:14" ht="30" customHeight="1">
      <c r="A37" s="1">
        <v>35</v>
      </c>
      <c r="B37" s="3" t="s">
        <v>126</v>
      </c>
      <c r="C37" s="3"/>
      <c r="E37" s="1">
        <v>35</v>
      </c>
      <c r="F37" s="3" t="s">
        <v>127</v>
      </c>
      <c r="M37" s="1">
        <v>35</v>
      </c>
      <c r="N37" s="3" t="s">
        <v>128</v>
      </c>
    </row>
    <row r="38" spans="1:14" ht="30" customHeight="1">
      <c r="A38" s="1">
        <v>36</v>
      </c>
      <c r="B38" s="3" t="s">
        <v>129</v>
      </c>
      <c r="C38" s="3"/>
      <c r="E38" s="1">
        <v>36</v>
      </c>
      <c r="F38" s="3" t="s">
        <v>130</v>
      </c>
      <c r="M38" s="1">
        <v>36</v>
      </c>
      <c r="N38" s="3" t="s">
        <v>131</v>
      </c>
    </row>
    <row r="39" spans="1:14" ht="30" customHeight="1">
      <c r="A39" s="1">
        <v>37</v>
      </c>
      <c r="B39" s="3" t="s">
        <v>132</v>
      </c>
      <c r="C39" s="3"/>
      <c r="E39" s="1">
        <v>37</v>
      </c>
      <c r="F39" s="3" t="s">
        <v>133</v>
      </c>
      <c r="M39" s="1">
        <v>37</v>
      </c>
      <c r="N39" s="3" t="s">
        <v>134</v>
      </c>
    </row>
    <row r="40" spans="1:14" ht="30" customHeight="1">
      <c r="A40" s="1">
        <v>38</v>
      </c>
      <c r="B40" s="3" t="s">
        <v>135</v>
      </c>
      <c r="C40" s="3"/>
      <c r="E40" s="1">
        <v>38</v>
      </c>
      <c r="F40" s="3" t="s">
        <v>136</v>
      </c>
      <c r="M40" s="1">
        <v>38</v>
      </c>
      <c r="N40" s="3" t="s">
        <v>137</v>
      </c>
    </row>
    <row r="41" spans="1:14" ht="30" customHeight="1">
      <c r="A41" s="1">
        <v>39</v>
      </c>
      <c r="B41" s="3" t="s">
        <v>138</v>
      </c>
      <c r="C41" s="11"/>
      <c r="E41" s="1">
        <v>39</v>
      </c>
      <c r="F41" s="3" t="s">
        <v>139</v>
      </c>
      <c r="M41" s="1">
        <v>39</v>
      </c>
      <c r="N41" s="3" t="s">
        <v>140</v>
      </c>
    </row>
    <row r="42" spans="1:14" ht="30" customHeight="1">
      <c r="A42" s="1">
        <v>40</v>
      </c>
      <c r="B42" s="3" t="s">
        <v>141</v>
      </c>
      <c r="C42" s="3"/>
      <c r="E42" s="1">
        <v>40</v>
      </c>
      <c r="F42" s="3" t="s">
        <v>142</v>
      </c>
      <c r="M42" s="1">
        <v>40</v>
      </c>
      <c r="N42" s="3" t="s">
        <v>4043</v>
      </c>
    </row>
    <row r="43" spans="1:14" ht="30" customHeight="1">
      <c r="A43" s="1">
        <v>41</v>
      </c>
      <c r="B43" s="3" t="s">
        <v>143</v>
      </c>
      <c r="C43" s="11"/>
      <c r="E43" s="1">
        <v>41</v>
      </c>
      <c r="F43" s="3" t="s">
        <v>144</v>
      </c>
      <c r="M43" s="1">
        <v>41</v>
      </c>
      <c r="N43" s="3" t="s">
        <v>145</v>
      </c>
    </row>
    <row r="44" spans="1:14" ht="30" customHeight="1">
      <c r="A44" s="1">
        <v>42</v>
      </c>
      <c r="B44" s="3" t="s">
        <v>146</v>
      </c>
      <c r="C44" s="3"/>
      <c r="E44" s="1">
        <v>42</v>
      </c>
      <c r="F44" s="3" t="s">
        <v>147</v>
      </c>
      <c r="M44" s="1">
        <v>42</v>
      </c>
      <c r="N44" s="3" t="s">
        <v>148</v>
      </c>
    </row>
    <row r="45" spans="1:14" ht="30" customHeight="1">
      <c r="A45" s="1">
        <v>43</v>
      </c>
      <c r="B45" s="3" t="s">
        <v>149</v>
      </c>
      <c r="C45" s="11"/>
      <c r="E45" s="1">
        <v>43</v>
      </c>
      <c r="F45" s="11" t="s">
        <v>150</v>
      </c>
      <c r="M45" s="1">
        <v>43</v>
      </c>
      <c r="N45" s="3" t="s">
        <v>151</v>
      </c>
    </row>
    <row r="46" spans="1:14" ht="30" customHeight="1">
      <c r="A46" s="1">
        <v>44</v>
      </c>
      <c r="B46" s="3" t="s">
        <v>152</v>
      </c>
      <c r="C46" s="11"/>
      <c r="E46" s="1">
        <v>44</v>
      </c>
      <c r="F46" s="3" t="s">
        <v>153</v>
      </c>
      <c r="M46" s="1">
        <v>44</v>
      </c>
      <c r="N46" s="3" t="s">
        <v>154</v>
      </c>
    </row>
    <row r="47" spans="1:14" ht="30" customHeight="1">
      <c r="A47" s="1">
        <v>45</v>
      </c>
      <c r="B47" s="3" t="s">
        <v>155</v>
      </c>
      <c r="C47" s="3"/>
      <c r="E47" s="1">
        <v>45</v>
      </c>
      <c r="F47" s="3" t="s">
        <v>156</v>
      </c>
      <c r="M47" s="1">
        <v>45</v>
      </c>
      <c r="N47" s="3" t="s">
        <v>157</v>
      </c>
    </row>
    <row r="48" spans="1:14" ht="30" customHeight="1">
      <c r="A48" s="1"/>
      <c r="B48" s="3"/>
      <c r="C48" s="3"/>
      <c r="E48" s="1">
        <v>46</v>
      </c>
      <c r="F48" s="3" t="s">
        <v>158</v>
      </c>
      <c r="M48" s="1">
        <v>46</v>
      </c>
      <c r="N48" s="3" t="s">
        <v>4044</v>
      </c>
    </row>
    <row r="49" spans="1:14" ht="30" customHeight="1">
      <c r="A49" s="1"/>
      <c r="B49" s="5" t="s">
        <v>159</v>
      </c>
      <c r="C49" s="3"/>
      <c r="E49" s="1">
        <v>47</v>
      </c>
      <c r="F49" s="3" t="s">
        <v>160</v>
      </c>
      <c r="M49" s="1">
        <v>47</v>
      </c>
      <c r="N49" s="3" t="s">
        <v>161</v>
      </c>
    </row>
    <row r="50" spans="1:14" ht="30" customHeight="1">
      <c r="A50" s="1">
        <v>1</v>
      </c>
      <c r="B50" s="3" t="s">
        <v>162</v>
      </c>
      <c r="C50" s="3"/>
      <c r="E50" s="1">
        <v>48</v>
      </c>
      <c r="F50" s="3" t="s">
        <v>163</v>
      </c>
      <c r="M50" s="1">
        <v>48</v>
      </c>
      <c r="N50" s="3" t="s">
        <v>164</v>
      </c>
    </row>
    <row r="51" spans="1:14" ht="30" customHeight="1">
      <c r="A51" s="1">
        <v>2</v>
      </c>
      <c r="B51" s="3" t="s">
        <v>165</v>
      </c>
      <c r="C51" s="3"/>
      <c r="E51" s="1">
        <v>49</v>
      </c>
      <c r="F51" s="3" t="s">
        <v>166</v>
      </c>
      <c r="M51" s="1">
        <v>49</v>
      </c>
      <c r="N51" s="3" t="s">
        <v>167</v>
      </c>
    </row>
    <row r="52" spans="1:14" ht="30" customHeight="1">
      <c r="A52" s="1">
        <v>3</v>
      </c>
      <c r="B52" s="3" t="s">
        <v>168</v>
      </c>
      <c r="C52" s="3"/>
      <c r="E52" s="1">
        <v>50</v>
      </c>
      <c r="F52" s="3" t="s">
        <v>169</v>
      </c>
      <c r="M52" s="1">
        <v>50</v>
      </c>
      <c r="N52" s="3" t="s">
        <v>170</v>
      </c>
    </row>
    <row r="53" spans="1:14" ht="30" customHeight="1">
      <c r="A53" s="1">
        <v>4</v>
      </c>
      <c r="B53" s="7" t="s">
        <v>171</v>
      </c>
      <c r="C53" s="3"/>
      <c r="E53" s="1">
        <v>51</v>
      </c>
      <c r="F53" s="3" t="s">
        <v>172</v>
      </c>
      <c r="M53" s="1">
        <v>51</v>
      </c>
      <c r="N53" s="3" t="s">
        <v>173</v>
      </c>
    </row>
    <row r="54" spans="1:14" ht="30" customHeight="1">
      <c r="A54" s="1">
        <v>5</v>
      </c>
      <c r="B54" s="3" t="s">
        <v>174</v>
      </c>
      <c r="C54" s="3"/>
      <c r="E54" s="1">
        <v>52</v>
      </c>
      <c r="F54" s="3" t="s">
        <v>175</v>
      </c>
      <c r="M54" s="1">
        <v>52</v>
      </c>
      <c r="N54" s="3" t="s">
        <v>176</v>
      </c>
    </row>
    <row r="55" spans="1:14" ht="30" customHeight="1">
      <c r="A55" s="1">
        <v>6</v>
      </c>
      <c r="B55" s="3" t="s">
        <v>177</v>
      </c>
      <c r="C55" s="3"/>
      <c r="E55" s="1">
        <v>53</v>
      </c>
      <c r="F55" s="3" t="s">
        <v>178</v>
      </c>
      <c r="M55" s="1">
        <v>53</v>
      </c>
      <c r="N55" s="14" t="s">
        <v>179</v>
      </c>
    </row>
    <row r="56" spans="1:14" ht="30" customHeight="1">
      <c r="A56" s="1">
        <v>7</v>
      </c>
      <c r="B56" s="3" t="s">
        <v>180</v>
      </c>
      <c r="C56" s="3"/>
      <c r="E56" s="1">
        <v>54</v>
      </c>
      <c r="F56" s="3" t="s">
        <v>181</v>
      </c>
      <c r="M56" s="1">
        <v>54</v>
      </c>
      <c r="N56" s="3" t="s">
        <v>182</v>
      </c>
    </row>
    <row r="57" spans="1:14" ht="30" customHeight="1">
      <c r="A57" s="1">
        <v>8</v>
      </c>
      <c r="B57" s="3" t="s">
        <v>183</v>
      </c>
      <c r="C57" s="3"/>
      <c r="E57" s="1">
        <v>55</v>
      </c>
      <c r="F57" s="3" t="s">
        <v>184</v>
      </c>
      <c r="M57" s="1">
        <v>55</v>
      </c>
      <c r="N57" s="3" t="s">
        <v>185</v>
      </c>
    </row>
    <row r="58" spans="1:14" ht="30" customHeight="1">
      <c r="A58" s="1">
        <v>9</v>
      </c>
      <c r="B58" s="3" t="s">
        <v>186</v>
      </c>
      <c r="C58" s="3"/>
      <c r="E58" s="1">
        <v>56</v>
      </c>
      <c r="F58" s="3" t="s">
        <v>187</v>
      </c>
      <c r="M58" s="1">
        <v>56</v>
      </c>
      <c r="N58" s="3" t="s">
        <v>188</v>
      </c>
    </row>
    <row r="59" spans="1:14" ht="30" customHeight="1">
      <c r="A59" s="1">
        <v>10</v>
      </c>
      <c r="B59" s="3" t="s">
        <v>189</v>
      </c>
      <c r="C59" s="3"/>
      <c r="E59" s="1">
        <v>57</v>
      </c>
      <c r="F59" s="3" t="s">
        <v>190</v>
      </c>
      <c r="M59" s="1">
        <v>57</v>
      </c>
      <c r="N59" s="15" t="s">
        <v>4045</v>
      </c>
    </row>
    <row r="60" spans="1:14" ht="30" customHeight="1">
      <c r="A60" s="1">
        <v>11</v>
      </c>
      <c r="B60" s="3" t="s">
        <v>191</v>
      </c>
      <c r="C60" s="3"/>
      <c r="E60" s="1">
        <v>58</v>
      </c>
      <c r="F60" s="3" t="s">
        <v>192</v>
      </c>
      <c r="M60" s="1">
        <v>58</v>
      </c>
      <c r="N60" s="3" t="s">
        <v>193</v>
      </c>
    </row>
    <row r="61" spans="1:14" ht="30" customHeight="1">
      <c r="C61" s="3"/>
      <c r="E61" s="1">
        <v>59</v>
      </c>
      <c r="F61" s="3" t="s">
        <v>194</v>
      </c>
    </row>
    <row r="62" spans="1:14" ht="30" customHeight="1">
      <c r="C62" s="3"/>
      <c r="E62" s="1">
        <v>60</v>
      </c>
      <c r="F62" s="3" t="s">
        <v>195</v>
      </c>
    </row>
    <row r="63" spans="1:14" ht="30" customHeight="1">
      <c r="A63" s="1"/>
      <c r="B63" s="4" t="s">
        <v>196</v>
      </c>
      <c r="C63" s="3"/>
      <c r="E63" s="1">
        <v>61</v>
      </c>
      <c r="F63" s="3" t="s">
        <v>197</v>
      </c>
    </row>
    <row r="64" spans="1:14" ht="30" customHeight="1">
      <c r="A64" s="1">
        <v>1</v>
      </c>
      <c r="B64" s="3" t="s">
        <v>198</v>
      </c>
      <c r="C64" s="3"/>
      <c r="E64" s="1">
        <v>62</v>
      </c>
      <c r="F64" s="3" t="s">
        <v>199</v>
      </c>
    </row>
    <row r="65" spans="1:6" ht="30" customHeight="1">
      <c r="A65" s="1">
        <v>2</v>
      </c>
      <c r="B65" s="3" t="s">
        <v>200</v>
      </c>
      <c r="C65" s="3"/>
      <c r="E65" s="1">
        <v>63</v>
      </c>
      <c r="F65" s="3" t="s">
        <v>201</v>
      </c>
    </row>
    <row r="66" spans="1:6" ht="30" customHeight="1">
      <c r="A66" s="1">
        <v>3</v>
      </c>
      <c r="B66" s="3" t="s">
        <v>202</v>
      </c>
      <c r="C66" s="3"/>
      <c r="E66" s="1">
        <v>64</v>
      </c>
      <c r="F66" s="3" t="s">
        <v>203</v>
      </c>
    </row>
    <row r="67" spans="1:6" ht="30" customHeight="1">
      <c r="A67" s="1">
        <v>4</v>
      </c>
      <c r="B67" s="3" t="s">
        <v>204</v>
      </c>
      <c r="C67" s="3"/>
      <c r="E67" s="1">
        <v>65</v>
      </c>
      <c r="F67" s="3" t="s">
        <v>205</v>
      </c>
    </row>
    <row r="68" spans="1:6" ht="30" customHeight="1">
      <c r="A68" s="1">
        <v>5</v>
      </c>
      <c r="B68" s="3" t="s">
        <v>206</v>
      </c>
      <c r="C68" s="3"/>
      <c r="E68" s="1">
        <v>66</v>
      </c>
      <c r="F68" s="3" t="s">
        <v>207</v>
      </c>
    </row>
    <row r="69" spans="1:6" ht="30" customHeight="1">
      <c r="A69" s="1">
        <v>6</v>
      </c>
      <c r="B69" s="3" t="s">
        <v>208</v>
      </c>
      <c r="C69" s="3"/>
      <c r="E69" s="1">
        <v>67</v>
      </c>
      <c r="F69" s="3" t="s">
        <v>209</v>
      </c>
    </row>
    <row r="70" spans="1:6" ht="30" customHeight="1">
      <c r="A70" s="1">
        <v>7</v>
      </c>
      <c r="B70" s="3" t="s">
        <v>210</v>
      </c>
      <c r="C70" s="3"/>
      <c r="E70" s="1">
        <v>68</v>
      </c>
      <c r="F70" s="3" t="s">
        <v>211</v>
      </c>
    </row>
    <row r="71" spans="1:6" ht="30" customHeight="1">
      <c r="A71" s="1">
        <v>8</v>
      </c>
      <c r="B71" s="3" t="s">
        <v>212</v>
      </c>
      <c r="C71" s="3"/>
      <c r="E71" s="1">
        <v>69</v>
      </c>
      <c r="F71" s="3" t="s">
        <v>213</v>
      </c>
    </row>
    <row r="72" spans="1:6" ht="30" customHeight="1">
      <c r="A72" s="1">
        <v>9</v>
      </c>
      <c r="B72" s="3" t="s">
        <v>214</v>
      </c>
      <c r="C72" s="3"/>
      <c r="E72" s="1">
        <v>70</v>
      </c>
      <c r="F72" s="3" t="s">
        <v>215</v>
      </c>
    </row>
    <row r="73" spans="1:6" ht="30" customHeight="1">
      <c r="A73" s="1">
        <v>10</v>
      </c>
      <c r="B73" s="3" t="s">
        <v>216</v>
      </c>
      <c r="C73" s="3"/>
      <c r="E73" s="1">
        <v>71</v>
      </c>
      <c r="F73" s="3" t="s">
        <v>217</v>
      </c>
    </row>
    <row r="74" spans="1:6" ht="30" customHeight="1">
      <c r="A74" s="1">
        <v>11</v>
      </c>
      <c r="B74" s="3" t="s">
        <v>218</v>
      </c>
      <c r="C74" s="3"/>
      <c r="E74" s="1">
        <v>72</v>
      </c>
      <c r="F74" s="3" t="s">
        <v>219</v>
      </c>
    </row>
    <row r="75" spans="1:6" ht="30" customHeight="1">
      <c r="A75" s="1">
        <v>12</v>
      </c>
      <c r="B75" s="3" t="s">
        <v>220</v>
      </c>
      <c r="C75" s="3"/>
      <c r="E75" s="1">
        <v>73</v>
      </c>
      <c r="F75" s="3" t="s">
        <v>221</v>
      </c>
    </row>
    <row r="76" spans="1:6" ht="30" customHeight="1">
      <c r="A76" s="1"/>
      <c r="B76" s="3"/>
      <c r="C76" s="3"/>
      <c r="E76" s="1">
        <v>74</v>
      </c>
      <c r="F76" s="16" t="s">
        <v>222</v>
      </c>
    </row>
    <row r="77" spans="1:6" ht="30" customHeight="1">
      <c r="A77" s="1"/>
      <c r="B77" s="3"/>
      <c r="C77" s="3"/>
      <c r="E77" s="1">
        <v>75</v>
      </c>
      <c r="F77" s="16" t="s">
        <v>223</v>
      </c>
    </row>
    <row r="78" spans="1:6" ht="30" customHeight="1">
      <c r="A78" s="1"/>
      <c r="B78" s="3"/>
      <c r="C78" s="3"/>
      <c r="E78" s="1">
        <v>76</v>
      </c>
    </row>
    <row r="79" spans="1:6" ht="30" customHeight="1">
      <c r="A79" s="1"/>
      <c r="B79" s="5" t="s">
        <v>4072</v>
      </c>
      <c r="C79" s="3"/>
    </row>
    <row r="80" spans="1:6" ht="30" customHeight="1">
      <c r="A80" s="1">
        <v>1</v>
      </c>
      <c r="B80" s="3" t="s">
        <v>224</v>
      </c>
      <c r="C80" s="3"/>
    </row>
    <row r="81" spans="1:3" ht="30" customHeight="1">
      <c r="A81" s="1">
        <v>2</v>
      </c>
      <c r="B81" s="3" t="s">
        <v>225</v>
      </c>
      <c r="C81" s="3"/>
    </row>
    <row r="82" spans="1:3" ht="30" customHeight="1">
      <c r="A82" s="1">
        <v>3</v>
      </c>
      <c r="B82" s="7" t="s">
        <v>226</v>
      </c>
      <c r="C82" s="3"/>
    </row>
    <row r="83" spans="1:3" ht="30" customHeight="1">
      <c r="A83" s="1">
        <v>4</v>
      </c>
      <c r="B83" s="3" t="s">
        <v>227</v>
      </c>
      <c r="C83" s="3"/>
    </row>
    <row r="84" spans="1:3" ht="30" customHeight="1">
      <c r="A84" s="1">
        <v>5</v>
      </c>
      <c r="B84" s="3" t="s">
        <v>228</v>
      </c>
      <c r="C84" s="3"/>
    </row>
    <row r="85" spans="1:3" ht="30" customHeight="1">
      <c r="A85" s="1">
        <v>6</v>
      </c>
      <c r="B85" s="3" t="s">
        <v>229</v>
      </c>
      <c r="C85" s="3"/>
    </row>
    <row r="86" spans="1:3" ht="30" customHeight="1">
      <c r="A86" s="1">
        <v>7</v>
      </c>
      <c r="B86" s="3" t="s">
        <v>230</v>
      </c>
      <c r="C86" s="3"/>
    </row>
    <row r="87" spans="1:3" ht="30" customHeight="1">
      <c r="A87" s="1">
        <v>8</v>
      </c>
      <c r="B87" s="3" t="s">
        <v>231</v>
      </c>
      <c r="C87" s="3"/>
    </row>
    <row r="88" spans="1:3" ht="30" customHeight="1">
      <c r="A88" s="1"/>
      <c r="B88" s="3"/>
      <c r="C88" s="3"/>
    </row>
    <row r="89" spans="1:3" ht="30" customHeight="1">
      <c r="A89" s="1"/>
      <c r="B89" s="5" t="s">
        <v>4073</v>
      </c>
      <c r="C89" s="3"/>
    </row>
    <row r="90" spans="1:3" ht="30" customHeight="1">
      <c r="A90" s="1">
        <v>1</v>
      </c>
      <c r="B90" s="3" t="s">
        <v>232</v>
      </c>
      <c r="C90" s="3"/>
    </row>
    <row r="91" spans="1:3" ht="30" customHeight="1">
      <c r="A91" s="1">
        <v>2</v>
      </c>
      <c r="B91" s="3" t="s">
        <v>233</v>
      </c>
      <c r="C91" s="3"/>
    </row>
    <row r="92" spans="1:3" ht="30" customHeight="1">
      <c r="A92" s="1">
        <v>3</v>
      </c>
      <c r="B92" s="3" t="s">
        <v>234</v>
      </c>
      <c r="C92" s="3"/>
    </row>
    <row r="93" spans="1:3" ht="30" customHeight="1">
      <c r="A93" s="1">
        <v>4</v>
      </c>
      <c r="B93" s="3" t="s">
        <v>235</v>
      </c>
      <c r="C93" s="3"/>
    </row>
    <row r="94" spans="1:3" ht="30" customHeight="1">
      <c r="A94" s="1">
        <v>5</v>
      </c>
      <c r="B94" s="3" t="s">
        <v>236</v>
      </c>
      <c r="C94" s="3"/>
    </row>
    <row r="95" spans="1:3" ht="30" customHeight="1">
      <c r="A95" s="1">
        <v>6</v>
      </c>
      <c r="B95" s="3" t="s">
        <v>237</v>
      </c>
      <c r="C95" s="3"/>
    </row>
    <row r="96" spans="1:3" ht="30" customHeight="1">
      <c r="A96" s="1">
        <v>7</v>
      </c>
      <c r="B96" s="3" t="s">
        <v>238</v>
      </c>
      <c r="C96" s="3"/>
    </row>
    <row r="97" spans="1:3" ht="30" customHeight="1">
      <c r="A97" s="1">
        <v>8</v>
      </c>
      <c r="B97" s="3" t="s">
        <v>239</v>
      </c>
      <c r="C97" s="3"/>
    </row>
    <row r="98" spans="1:3" ht="30" customHeight="1">
      <c r="A98" s="1">
        <v>9</v>
      </c>
      <c r="B98" s="3" t="s">
        <v>240</v>
      </c>
      <c r="C98" s="3"/>
    </row>
    <row r="99" spans="1:3" ht="30" customHeight="1">
      <c r="C99" s="3"/>
    </row>
    <row r="100" spans="1:3" ht="30" customHeight="1">
      <c r="C100" s="3"/>
    </row>
    <row r="101" spans="1:3" ht="30" customHeight="1">
      <c r="A101" s="1"/>
      <c r="B101" s="5" t="s">
        <v>241</v>
      </c>
      <c r="C101" s="3"/>
    </row>
    <row r="102" spans="1:3" ht="30" customHeight="1">
      <c r="A102" s="1">
        <v>1</v>
      </c>
      <c r="B102" s="13" t="s">
        <v>242</v>
      </c>
      <c r="C102" s="3"/>
    </row>
    <row r="103" spans="1:3" ht="30" customHeight="1">
      <c r="A103" s="1">
        <v>2</v>
      </c>
      <c r="B103" s="13" t="s">
        <v>243</v>
      </c>
      <c r="C103" s="3"/>
    </row>
    <row r="104" spans="1:3" ht="30" customHeight="1">
      <c r="A104" s="1">
        <v>3</v>
      </c>
      <c r="B104" s="3" t="s">
        <v>244</v>
      </c>
      <c r="C104" s="3"/>
    </row>
    <row r="105" spans="1:3" ht="30" customHeight="1">
      <c r="A105" s="1">
        <v>4</v>
      </c>
      <c r="B105" s="3"/>
      <c r="C105" s="3"/>
    </row>
    <row r="106" spans="1:3" ht="30" customHeight="1">
      <c r="A106" s="1">
        <v>5</v>
      </c>
      <c r="B106" s="3"/>
      <c r="C106" s="3"/>
    </row>
    <row r="107" spans="1:3" ht="30" customHeight="1">
      <c r="C107" s="3"/>
    </row>
    <row r="108" spans="1:3" ht="30" customHeight="1">
      <c r="C108" s="3"/>
    </row>
    <row r="109" spans="1:3" ht="30" customHeight="1">
      <c r="A109" s="1"/>
      <c r="B109" s="3"/>
      <c r="C109" s="3"/>
    </row>
    <row r="110" spans="1:3" ht="30" customHeight="1">
      <c r="A110" s="1"/>
      <c r="B110" s="5"/>
      <c r="C110" s="3"/>
    </row>
    <row r="111" spans="1:3" ht="30" customHeight="1">
      <c r="C111" s="3"/>
    </row>
    <row r="112" spans="1:3" ht="30" customHeight="1">
      <c r="C112" s="3"/>
    </row>
    <row r="113" spans="1:3" ht="30" customHeight="1">
      <c r="C113" s="3"/>
    </row>
    <row r="114" spans="1:3" ht="30" customHeight="1">
      <c r="C114" s="3"/>
    </row>
    <row r="115" spans="1:3" ht="30" customHeight="1">
      <c r="C115" s="3"/>
    </row>
    <row r="116" spans="1:3" ht="30" customHeight="1">
      <c r="C116" s="3"/>
    </row>
    <row r="117" spans="1:3" ht="30" customHeight="1">
      <c r="A117" s="1"/>
      <c r="B117" s="17"/>
      <c r="C117" s="3"/>
    </row>
    <row r="118" spans="1:3" ht="30" customHeight="1"/>
    <row r="119" spans="1:3" ht="30" customHeight="1"/>
    <row r="120" spans="1:3" ht="30" customHeight="1"/>
    <row r="121" spans="1:3" ht="30" customHeight="1"/>
    <row r="122" spans="1:3" ht="30" customHeight="1"/>
    <row r="123" spans="1:3" ht="30" customHeight="1"/>
    <row r="124" spans="1:3" ht="30" customHeight="1"/>
    <row r="125" spans="1:3" ht="30" customHeight="1"/>
    <row r="126" spans="1:3" ht="30" customHeight="1"/>
    <row r="127" spans="1:3" ht="30" customHeight="1"/>
    <row r="128" spans="1:3"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row r="145" ht="30" customHeight="1"/>
    <row r="146" ht="30" customHeight="1"/>
    <row r="147" ht="30" customHeight="1"/>
    <row r="148" ht="30" customHeight="1"/>
    <row r="149" ht="30" customHeight="1"/>
    <row r="150" ht="30" customHeight="1"/>
    <row r="151" ht="30" customHeight="1"/>
    <row r="152" ht="30" customHeight="1"/>
    <row r="153" ht="30" customHeight="1"/>
    <row r="154" ht="30" customHeight="1"/>
    <row r="155" ht="30" customHeight="1"/>
    <row r="156" ht="30" customHeight="1"/>
    <row r="157" ht="30" customHeight="1"/>
    <row r="158" ht="30" customHeight="1"/>
    <row r="159" ht="30" customHeight="1"/>
    <row r="160" ht="30" customHeight="1"/>
    <row r="161" ht="30" customHeight="1"/>
    <row r="162" ht="30" customHeight="1"/>
    <row r="163" ht="30" customHeight="1"/>
    <row r="164" ht="30" customHeight="1"/>
    <row r="165" ht="30" customHeight="1"/>
    <row r="166" ht="30" customHeight="1"/>
    <row r="167" ht="30" customHeight="1"/>
    <row r="168" ht="30" customHeight="1"/>
    <row r="169" ht="30" customHeight="1"/>
    <row r="170" ht="30" customHeight="1"/>
    <row r="171" ht="30" customHeight="1"/>
    <row r="172" ht="30" customHeight="1"/>
    <row r="173" ht="30" customHeight="1"/>
    <row r="174" ht="30" customHeight="1"/>
    <row r="175" ht="30" customHeight="1"/>
    <row r="176" ht="30" customHeight="1"/>
    <row r="177" ht="30" customHeight="1"/>
    <row r="178" ht="30" customHeight="1"/>
    <row r="179" ht="30" customHeight="1"/>
    <row r="180" ht="30" customHeight="1"/>
    <row r="181" ht="30" customHeight="1"/>
    <row r="182" ht="30" customHeight="1"/>
    <row r="183" ht="30" customHeight="1"/>
    <row r="184" ht="30" customHeight="1"/>
    <row r="185" ht="30" customHeight="1"/>
    <row r="186" ht="30" customHeight="1"/>
    <row r="187" ht="30" customHeight="1"/>
    <row r="188" ht="30" customHeight="1"/>
    <row r="189" ht="30" customHeight="1"/>
    <row r="190" ht="30" customHeight="1"/>
    <row r="191" ht="30" customHeight="1"/>
    <row r="192" ht="30" customHeight="1"/>
    <row r="193" ht="30" customHeight="1"/>
    <row r="194" ht="30" customHeight="1"/>
    <row r="195" ht="30" customHeight="1"/>
    <row r="196" ht="30" customHeight="1"/>
    <row r="197" ht="30" customHeight="1"/>
    <row r="198" ht="30" customHeight="1"/>
    <row r="199" ht="30" customHeight="1"/>
    <row r="200" ht="30" customHeight="1"/>
    <row r="201" ht="30" customHeight="1"/>
  </sheetData>
  <mergeCells count="2">
    <mergeCell ref="E2:F2"/>
    <mergeCell ref="A2:B2"/>
  </mergeCells>
  <phoneticPr fontId="35" type="noConversion"/>
  <hyperlinks>
    <hyperlink ref="N59" r:id="rId1" xr:uid="{00000000-0004-0000-06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会议常用口语">
    <tabColor rgb="FFFFFFFF"/>
  </sheetPr>
  <dimension ref="A1:AJ78"/>
  <sheetViews>
    <sheetView topLeftCell="A31" workbookViewId="0"/>
  </sheetViews>
  <sheetFormatPr defaultRowHeight="14"/>
  <cols>
    <col min="1" max="1" width="2.7265625" customWidth="1"/>
    <col min="2" max="10" width="6.7265625" customWidth="1"/>
    <col min="11" max="11" width="16.7265625" customWidth="1"/>
    <col min="12" max="20" width="6.7265625" customWidth="1"/>
    <col min="21" max="36" width="9.7265625" customWidth="1"/>
  </cols>
  <sheetData>
    <row r="1" spans="1:36">
      <c r="A1" s="120"/>
      <c r="B1" s="120"/>
      <c r="C1" s="120"/>
      <c r="D1" s="120"/>
      <c r="E1" s="120"/>
      <c r="F1" s="120"/>
      <c r="G1" s="120"/>
      <c r="H1" s="120"/>
      <c r="I1" s="120"/>
      <c r="J1" s="120"/>
      <c r="K1" s="120"/>
      <c r="L1" s="120"/>
      <c r="M1" s="120"/>
      <c r="N1" s="120"/>
      <c r="O1" s="120"/>
      <c r="P1" s="120"/>
      <c r="Q1" s="120"/>
      <c r="R1" s="120"/>
      <c r="S1" s="120"/>
      <c r="T1" s="120"/>
      <c r="U1" s="120"/>
      <c r="V1" s="120"/>
      <c r="W1" s="120"/>
      <c r="X1" s="120"/>
      <c r="Y1" s="120"/>
      <c r="Z1" s="120"/>
      <c r="AA1" s="120"/>
      <c r="AB1" s="120"/>
      <c r="AC1" s="120"/>
      <c r="AD1" s="120"/>
      <c r="AE1" s="120"/>
      <c r="AF1" s="120"/>
      <c r="AG1" s="120"/>
      <c r="AH1" s="120"/>
      <c r="AI1" s="120"/>
      <c r="AJ1" s="120"/>
    </row>
    <row r="2" spans="1:36" ht="57.75" customHeight="1">
      <c r="A2" s="120"/>
      <c r="B2" s="168" t="s">
        <v>3491</v>
      </c>
      <c r="C2" s="169"/>
      <c r="D2" s="169"/>
      <c r="E2" s="169"/>
      <c r="F2" s="169"/>
      <c r="G2" s="169"/>
      <c r="H2" s="169"/>
      <c r="I2" s="169"/>
      <c r="J2" s="169"/>
      <c r="K2" s="169"/>
      <c r="L2" s="169"/>
      <c r="M2" s="169"/>
      <c r="N2" s="169"/>
      <c r="O2" s="169"/>
      <c r="P2" s="169"/>
      <c r="Q2" s="169"/>
      <c r="R2" s="169"/>
      <c r="S2" s="169"/>
      <c r="T2" s="169"/>
      <c r="U2" s="169"/>
      <c r="V2" s="121"/>
      <c r="W2" s="121"/>
      <c r="X2" s="121"/>
      <c r="Y2" s="121"/>
      <c r="Z2" s="121"/>
      <c r="AA2" s="121"/>
      <c r="AB2" s="121"/>
      <c r="AC2" s="121"/>
      <c r="AD2" s="121"/>
      <c r="AE2" s="121"/>
      <c r="AF2" s="121"/>
      <c r="AG2" s="121"/>
      <c r="AH2" s="121"/>
      <c r="AI2" s="121"/>
      <c r="AJ2" s="121"/>
    </row>
    <row r="3" spans="1:36">
      <c r="A3" s="120"/>
      <c r="B3" s="170" t="s">
        <v>3492</v>
      </c>
      <c r="C3" s="171"/>
      <c r="D3" s="171"/>
      <c r="E3" s="171"/>
      <c r="F3" s="171"/>
      <c r="G3" s="171"/>
      <c r="H3" s="171"/>
      <c r="I3" s="171"/>
      <c r="J3" s="171"/>
      <c r="K3" s="171"/>
      <c r="L3" s="172" t="s">
        <v>3493</v>
      </c>
      <c r="M3" s="173"/>
      <c r="N3" s="173"/>
      <c r="O3" s="173"/>
      <c r="P3" s="173"/>
      <c r="Q3" s="173"/>
      <c r="R3" s="173"/>
      <c r="S3" s="173"/>
      <c r="T3" s="173"/>
      <c r="U3" s="173"/>
      <c r="V3" s="120"/>
      <c r="W3" s="120"/>
      <c r="X3" s="120"/>
      <c r="Y3" s="120"/>
      <c r="Z3" s="120"/>
      <c r="AA3" s="120"/>
      <c r="AB3" s="120"/>
      <c r="AC3" s="120"/>
      <c r="AD3" s="120"/>
      <c r="AE3" s="120"/>
      <c r="AF3" s="120"/>
      <c r="AG3" s="120"/>
      <c r="AH3" s="120"/>
      <c r="AI3" s="120"/>
      <c r="AJ3" s="122"/>
    </row>
    <row r="4" spans="1:36" ht="49.5" customHeight="1">
      <c r="A4" s="120"/>
      <c r="B4" s="174" t="s">
        <v>3494</v>
      </c>
      <c r="C4" s="175"/>
      <c r="D4" s="175"/>
      <c r="E4" s="175"/>
      <c r="F4" s="175"/>
      <c r="G4" s="175"/>
      <c r="H4" s="175"/>
      <c r="I4" s="175"/>
      <c r="J4" s="175"/>
      <c r="K4" s="175"/>
      <c r="L4" s="176" t="s">
        <v>3495</v>
      </c>
      <c r="M4" s="177"/>
      <c r="N4" s="177"/>
      <c r="O4" s="177"/>
      <c r="P4" s="177"/>
      <c r="Q4" s="177"/>
      <c r="R4" s="177"/>
      <c r="S4" s="177"/>
      <c r="T4" s="177"/>
      <c r="U4" s="177"/>
      <c r="V4" s="120"/>
      <c r="W4" s="120"/>
      <c r="X4" s="120"/>
      <c r="Y4" s="120"/>
      <c r="Z4" s="120"/>
      <c r="AA4" s="120"/>
      <c r="AB4" s="120"/>
      <c r="AC4" s="120"/>
      <c r="AD4" s="120"/>
      <c r="AE4" s="120"/>
      <c r="AF4" s="120"/>
      <c r="AG4" s="120"/>
      <c r="AH4" s="120"/>
      <c r="AI4" s="120"/>
      <c r="AJ4" s="122"/>
    </row>
    <row r="5" spans="1:36" ht="25.5" customHeight="1">
      <c r="A5" s="120"/>
      <c r="B5" s="178" t="s">
        <v>3496</v>
      </c>
      <c r="C5" s="175"/>
      <c r="D5" s="175"/>
      <c r="E5" s="175"/>
      <c r="F5" s="175"/>
      <c r="G5" s="175"/>
      <c r="H5" s="175"/>
      <c r="I5" s="175"/>
      <c r="J5" s="175"/>
      <c r="K5" s="175"/>
      <c r="L5" s="179" t="s">
        <v>3497</v>
      </c>
      <c r="M5" s="177"/>
      <c r="N5" s="177"/>
      <c r="O5" s="177"/>
      <c r="P5" s="177"/>
      <c r="Q5" s="177"/>
      <c r="R5" s="177"/>
      <c r="S5" s="177"/>
      <c r="T5" s="177"/>
      <c r="U5" s="177"/>
      <c r="V5" s="120"/>
      <c r="W5" s="120"/>
      <c r="X5" s="120"/>
      <c r="Y5" s="120"/>
      <c r="Z5" s="120"/>
      <c r="AA5" s="120"/>
      <c r="AB5" s="120"/>
      <c r="AC5" s="120"/>
      <c r="AD5" s="120"/>
      <c r="AE5" s="120"/>
      <c r="AF5" s="120"/>
      <c r="AG5" s="120"/>
      <c r="AH5" s="120"/>
      <c r="AI5" s="120"/>
      <c r="AJ5" s="122"/>
    </row>
    <row r="6" spans="1:36" ht="45.75" customHeight="1">
      <c r="A6" s="120"/>
      <c r="B6" s="180" t="s">
        <v>3498</v>
      </c>
      <c r="C6" s="181"/>
      <c r="D6" s="181"/>
      <c r="E6" s="181"/>
      <c r="F6" s="181"/>
      <c r="G6" s="181"/>
      <c r="H6" s="181"/>
      <c r="I6" s="181"/>
      <c r="J6" s="181"/>
      <c r="K6" s="181"/>
      <c r="L6" s="182" t="s">
        <v>3499</v>
      </c>
      <c r="M6" s="183"/>
      <c r="N6" s="183"/>
      <c r="O6" s="183"/>
      <c r="P6" s="183"/>
      <c r="Q6" s="183"/>
      <c r="R6" s="183"/>
      <c r="S6" s="183"/>
      <c r="T6" s="183"/>
      <c r="U6" s="183"/>
      <c r="V6" s="120"/>
      <c r="W6" s="120"/>
      <c r="X6" s="120"/>
      <c r="Y6" s="120"/>
      <c r="Z6" s="120"/>
      <c r="AA6" s="120"/>
      <c r="AB6" s="120"/>
      <c r="AC6" s="120"/>
      <c r="AD6" s="120"/>
      <c r="AE6" s="120"/>
      <c r="AF6" s="120"/>
      <c r="AG6" s="120"/>
      <c r="AH6" s="120"/>
      <c r="AI6" s="120"/>
      <c r="AJ6" s="122"/>
    </row>
    <row r="7" spans="1:36" ht="15.75" customHeight="1">
      <c r="A7" s="120"/>
      <c r="B7" s="184" t="s">
        <v>3500</v>
      </c>
      <c r="C7" s="185"/>
      <c r="D7" s="185"/>
      <c r="E7" s="185"/>
      <c r="F7" s="185"/>
      <c r="G7" s="185"/>
      <c r="H7" s="185"/>
      <c r="I7" s="185"/>
      <c r="J7" s="185"/>
      <c r="K7" s="185"/>
      <c r="L7" s="182" t="s">
        <v>3501</v>
      </c>
      <c r="M7" s="183"/>
      <c r="N7" s="183"/>
      <c r="O7" s="183"/>
      <c r="P7" s="183"/>
      <c r="Q7" s="183"/>
      <c r="R7" s="183"/>
      <c r="S7" s="183"/>
      <c r="T7" s="183"/>
      <c r="U7" s="183"/>
      <c r="V7" s="120"/>
      <c r="W7" s="120"/>
      <c r="X7" s="120"/>
      <c r="Y7" s="120"/>
      <c r="Z7" s="120"/>
      <c r="AA7" s="120"/>
      <c r="AB7" s="120"/>
      <c r="AC7" s="120"/>
      <c r="AD7" s="120"/>
      <c r="AE7" s="120"/>
      <c r="AF7" s="120"/>
      <c r="AG7" s="120"/>
      <c r="AH7" s="120"/>
      <c r="AI7" s="120"/>
      <c r="AJ7" s="122"/>
    </row>
    <row r="8" spans="1:36" ht="16.5" customHeight="1">
      <c r="A8" s="120"/>
      <c r="B8" s="180" t="s">
        <v>3502</v>
      </c>
      <c r="C8" s="181"/>
      <c r="D8" s="181"/>
      <c r="E8" s="181"/>
      <c r="F8" s="181"/>
      <c r="G8" s="181"/>
      <c r="H8" s="181"/>
      <c r="I8" s="181"/>
      <c r="J8" s="181"/>
      <c r="K8" s="181"/>
      <c r="L8" s="182" t="s">
        <v>3503</v>
      </c>
      <c r="M8" s="183"/>
      <c r="N8" s="183"/>
      <c r="O8" s="183"/>
      <c r="P8" s="183"/>
      <c r="Q8" s="183"/>
      <c r="R8" s="183"/>
      <c r="S8" s="183"/>
      <c r="T8" s="183"/>
      <c r="U8" s="183"/>
      <c r="V8" s="120"/>
      <c r="W8" s="120"/>
      <c r="X8" s="120"/>
      <c r="Y8" s="120"/>
      <c r="Z8" s="120"/>
      <c r="AA8" s="120"/>
      <c r="AB8" s="120"/>
      <c r="AC8" s="120"/>
      <c r="AD8" s="120"/>
      <c r="AE8" s="120"/>
      <c r="AF8" s="120"/>
      <c r="AG8" s="120"/>
      <c r="AH8" s="120"/>
      <c r="AI8" s="120"/>
      <c r="AJ8" s="122"/>
    </row>
    <row r="9" spans="1:36" ht="16.5" customHeight="1">
      <c r="A9" s="120"/>
      <c r="B9" s="180" t="s">
        <v>3504</v>
      </c>
      <c r="C9" s="181"/>
      <c r="D9" s="181"/>
      <c r="E9" s="181"/>
      <c r="F9" s="181"/>
      <c r="G9" s="181"/>
      <c r="H9" s="181"/>
      <c r="I9" s="181"/>
      <c r="J9" s="181"/>
      <c r="K9" s="181"/>
      <c r="L9" s="182" t="s">
        <v>3505</v>
      </c>
      <c r="M9" s="183"/>
      <c r="N9" s="183"/>
      <c r="O9" s="183"/>
      <c r="P9" s="183"/>
      <c r="Q9" s="183"/>
      <c r="R9" s="183"/>
      <c r="S9" s="183"/>
      <c r="T9" s="183"/>
      <c r="U9" s="183"/>
      <c r="V9" s="120"/>
      <c r="W9" s="120"/>
      <c r="X9" s="120"/>
      <c r="Y9" s="120"/>
      <c r="Z9" s="120"/>
      <c r="AA9" s="120"/>
      <c r="AB9" s="120"/>
      <c r="AC9" s="120"/>
      <c r="AD9" s="120"/>
      <c r="AE9" s="120"/>
      <c r="AF9" s="120"/>
      <c r="AG9" s="120"/>
      <c r="AH9" s="120"/>
      <c r="AI9" s="120"/>
      <c r="AJ9" s="122"/>
    </row>
    <row r="10" spans="1:36" ht="16.5" customHeight="1">
      <c r="A10" s="120"/>
      <c r="B10" s="184" t="s">
        <v>3506</v>
      </c>
      <c r="C10" s="185"/>
      <c r="D10" s="185"/>
      <c r="E10" s="185"/>
      <c r="F10" s="185"/>
      <c r="G10" s="185"/>
      <c r="H10" s="185"/>
      <c r="I10" s="185"/>
      <c r="J10" s="185"/>
      <c r="K10" s="185"/>
      <c r="L10" s="186" t="s">
        <v>3507</v>
      </c>
      <c r="M10" s="187"/>
      <c r="N10" s="187"/>
      <c r="O10" s="187"/>
      <c r="P10" s="187"/>
      <c r="Q10" s="187"/>
      <c r="R10" s="187"/>
      <c r="S10" s="187"/>
      <c r="T10" s="187"/>
      <c r="U10" s="187"/>
      <c r="V10" s="120"/>
      <c r="W10" s="120"/>
      <c r="X10" s="120"/>
      <c r="Y10" s="120"/>
      <c r="Z10" s="120"/>
      <c r="AA10" s="120"/>
      <c r="AB10" s="120"/>
      <c r="AC10" s="120"/>
      <c r="AD10" s="120"/>
      <c r="AE10" s="120"/>
      <c r="AF10" s="120"/>
      <c r="AG10" s="120"/>
      <c r="AH10" s="120"/>
      <c r="AI10" s="120"/>
      <c r="AJ10" s="122"/>
    </row>
    <row r="11" spans="1:36" ht="16.5" customHeight="1">
      <c r="A11" s="120"/>
      <c r="B11" s="184" t="s">
        <v>3508</v>
      </c>
      <c r="C11" s="185"/>
      <c r="D11" s="185"/>
      <c r="E11" s="185"/>
      <c r="F11" s="185"/>
      <c r="G11" s="185"/>
      <c r="H11" s="185"/>
      <c r="I11" s="185"/>
      <c r="J11" s="185"/>
      <c r="K11" s="185"/>
      <c r="L11" s="186" t="s">
        <v>3509</v>
      </c>
      <c r="M11" s="187"/>
      <c r="N11" s="187"/>
      <c r="O11" s="187"/>
      <c r="P11" s="187"/>
      <c r="Q11" s="187"/>
      <c r="R11" s="187"/>
      <c r="S11" s="187"/>
      <c r="T11" s="187"/>
      <c r="U11" s="187"/>
      <c r="V11" s="123"/>
      <c r="W11" s="123"/>
      <c r="X11" s="123"/>
      <c r="Y11" s="123"/>
      <c r="Z11" s="123"/>
      <c r="AA11" s="123"/>
      <c r="AB11" s="123"/>
      <c r="AC11" s="123"/>
      <c r="AD11" s="123"/>
      <c r="AE11" s="123"/>
      <c r="AF11" s="123"/>
      <c r="AG11" s="123"/>
      <c r="AH11" s="123"/>
      <c r="AI11" s="123"/>
      <c r="AJ11" s="124"/>
    </row>
    <row r="12" spans="1:36" ht="16.5" customHeight="1">
      <c r="A12" s="120"/>
      <c r="B12" s="184" t="s">
        <v>3510</v>
      </c>
      <c r="C12" s="185"/>
      <c r="D12" s="185"/>
      <c r="E12" s="185"/>
      <c r="F12" s="185"/>
      <c r="G12" s="185"/>
      <c r="H12" s="185"/>
      <c r="I12" s="185"/>
      <c r="J12" s="185"/>
      <c r="K12" s="185"/>
      <c r="L12" s="186" t="s">
        <v>3511</v>
      </c>
      <c r="M12" s="187"/>
      <c r="N12" s="187"/>
      <c r="O12" s="187"/>
      <c r="P12" s="187"/>
      <c r="Q12" s="187"/>
      <c r="R12" s="187"/>
      <c r="S12" s="187"/>
      <c r="T12" s="187"/>
      <c r="U12" s="187"/>
      <c r="V12" s="120"/>
      <c r="W12" s="120"/>
      <c r="X12" s="120"/>
      <c r="Y12" s="120"/>
      <c r="Z12" s="120"/>
      <c r="AA12" s="120"/>
      <c r="AB12" s="120"/>
      <c r="AC12" s="120"/>
      <c r="AD12" s="120"/>
      <c r="AE12" s="120"/>
      <c r="AF12" s="120"/>
      <c r="AG12" s="120"/>
      <c r="AH12" s="120"/>
      <c r="AI12" s="120"/>
      <c r="AJ12" s="120"/>
    </row>
    <row r="13" spans="1:36" ht="16.5" customHeight="1">
      <c r="A13" s="120"/>
      <c r="B13" s="188" t="s">
        <v>3512</v>
      </c>
      <c r="C13" s="189"/>
      <c r="D13" s="189"/>
      <c r="E13" s="189"/>
      <c r="F13" s="189"/>
      <c r="G13" s="189"/>
      <c r="H13" s="189"/>
      <c r="I13" s="189"/>
      <c r="J13" s="189"/>
      <c r="K13" s="189"/>
      <c r="L13" s="190" t="s">
        <v>3513</v>
      </c>
      <c r="M13" s="191"/>
      <c r="N13" s="191"/>
      <c r="O13" s="191"/>
      <c r="P13" s="191"/>
      <c r="Q13" s="191"/>
      <c r="R13" s="191"/>
      <c r="S13" s="191"/>
      <c r="T13" s="191"/>
      <c r="U13" s="191"/>
      <c r="V13" s="120"/>
      <c r="W13" s="120"/>
      <c r="X13" s="120"/>
      <c r="Y13" s="120"/>
      <c r="Z13" s="120"/>
      <c r="AA13" s="120"/>
      <c r="AB13" s="120"/>
      <c r="AC13" s="120"/>
      <c r="AD13" s="120"/>
      <c r="AE13" s="120"/>
      <c r="AF13" s="120"/>
      <c r="AG13" s="120"/>
      <c r="AH13" s="120"/>
      <c r="AI13" s="120"/>
      <c r="AJ13" s="122"/>
    </row>
    <row r="14" spans="1:36">
      <c r="A14" s="3"/>
      <c r="B14" s="192" t="s">
        <v>3514</v>
      </c>
      <c r="C14" s="189"/>
      <c r="D14" s="189"/>
      <c r="E14" s="189"/>
      <c r="F14" s="189"/>
      <c r="G14" s="189"/>
      <c r="H14" s="189"/>
      <c r="I14" s="189"/>
      <c r="J14" s="189"/>
      <c r="K14" s="189"/>
      <c r="L14" s="193" t="s">
        <v>3515</v>
      </c>
      <c r="M14" s="191"/>
      <c r="N14" s="191"/>
      <c r="O14" s="191"/>
      <c r="P14" s="191"/>
      <c r="Q14" s="191"/>
      <c r="R14" s="191"/>
      <c r="S14" s="191"/>
      <c r="T14" s="191"/>
      <c r="U14" s="191"/>
      <c r="V14" s="120"/>
      <c r="W14" s="120"/>
      <c r="X14" s="120"/>
      <c r="Y14" s="120"/>
      <c r="Z14" s="120"/>
      <c r="AA14" s="120"/>
      <c r="AB14" s="120"/>
      <c r="AC14" s="120"/>
      <c r="AD14" s="120"/>
      <c r="AE14" s="120"/>
      <c r="AF14" s="120"/>
      <c r="AG14" s="120"/>
      <c r="AH14" s="120"/>
      <c r="AI14" s="120"/>
      <c r="AJ14" s="122"/>
    </row>
    <row r="15" spans="1:36">
      <c r="A15" s="3"/>
      <c r="B15" s="192" t="s">
        <v>3516</v>
      </c>
      <c r="C15" s="189"/>
      <c r="D15" s="189"/>
      <c r="E15" s="189"/>
      <c r="F15" s="189"/>
      <c r="G15" s="189"/>
      <c r="H15" s="189"/>
      <c r="I15" s="189"/>
      <c r="J15" s="189"/>
      <c r="K15" s="189"/>
      <c r="L15" s="193" t="s">
        <v>3517</v>
      </c>
      <c r="M15" s="191"/>
      <c r="N15" s="191"/>
      <c r="O15" s="191"/>
      <c r="P15" s="191"/>
      <c r="Q15" s="191"/>
      <c r="R15" s="191"/>
      <c r="S15" s="191"/>
      <c r="T15" s="191"/>
      <c r="U15" s="191"/>
      <c r="V15" s="120"/>
      <c r="W15" s="120"/>
      <c r="X15" s="120"/>
      <c r="Y15" s="120"/>
      <c r="Z15" s="120"/>
      <c r="AA15" s="120"/>
      <c r="AB15" s="120"/>
      <c r="AC15" s="120"/>
      <c r="AD15" s="120"/>
      <c r="AE15" s="120"/>
      <c r="AF15" s="120"/>
      <c r="AG15" s="120"/>
      <c r="AH15" s="120"/>
      <c r="AI15" s="120"/>
      <c r="AJ15" s="122"/>
    </row>
    <row r="16" spans="1:36" ht="17.5">
      <c r="A16" s="3"/>
      <c r="B16" s="194"/>
      <c r="C16" s="189"/>
      <c r="D16" s="189"/>
      <c r="E16" s="189"/>
      <c r="F16" s="189"/>
      <c r="G16" s="189"/>
      <c r="H16" s="189"/>
      <c r="I16" s="189"/>
      <c r="J16" s="189"/>
      <c r="K16" s="189"/>
      <c r="L16" s="195"/>
      <c r="M16" s="191"/>
      <c r="N16" s="191"/>
      <c r="O16" s="191"/>
      <c r="P16" s="191"/>
      <c r="Q16" s="191"/>
      <c r="R16" s="191"/>
      <c r="S16" s="191"/>
      <c r="T16" s="191"/>
      <c r="U16" s="191"/>
      <c r="V16" s="120"/>
      <c r="W16" s="120"/>
      <c r="X16" s="120"/>
      <c r="Y16" s="120"/>
      <c r="Z16" s="120"/>
      <c r="AA16" s="120"/>
      <c r="AB16" s="120"/>
      <c r="AC16" s="120"/>
      <c r="AD16" s="120"/>
      <c r="AE16" s="120"/>
      <c r="AF16" s="120"/>
      <c r="AG16" s="120"/>
      <c r="AH16" s="120"/>
      <c r="AI16" s="120"/>
      <c r="AJ16" s="122"/>
    </row>
    <row r="17" spans="1:36">
      <c r="A17" s="120"/>
      <c r="B17" s="170" t="s">
        <v>3518</v>
      </c>
      <c r="C17" s="171"/>
      <c r="D17" s="171"/>
      <c r="E17" s="171"/>
      <c r="F17" s="171"/>
      <c r="G17" s="171"/>
      <c r="H17" s="171"/>
      <c r="I17" s="171"/>
      <c r="J17" s="171"/>
      <c r="K17" s="171"/>
      <c r="L17" s="172" t="s">
        <v>3519</v>
      </c>
      <c r="M17" s="173"/>
      <c r="N17" s="173"/>
      <c r="O17" s="173"/>
      <c r="P17" s="173"/>
      <c r="Q17" s="173"/>
      <c r="R17" s="173"/>
      <c r="S17" s="173"/>
      <c r="T17" s="173"/>
      <c r="U17" s="173"/>
      <c r="V17" s="125"/>
      <c r="W17" s="125"/>
      <c r="X17" s="125"/>
      <c r="Y17" s="125"/>
      <c r="Z17" s="125"/>
      <c r="AA17" s="125"/>
      <c r="AB17" s="125"/>
      <c r="AC17" s="125"/>
      <c r="AD17" s="125"/>
      <c r="AE17" s="125"/>
      <c r="AF17" s="125"/>
      <c r="AG17" s="125"/>
      <c r="AH17" s="125"/>
      <c r="AI17" s="125"/>
      <c r="AJ17" s="125"/>
    </row>
    <row r="18" spans="1:36" ht="36" customHeight="1">
      <c r="A18" s="120"/>
      <c r="B18" s="180" t="s">
        <v>3520</v>
      </c>
      <c r="C18" s="181"/>
      <c r="D18" s="181"/>
      <c r="E18" s="181"/>
      <c r="F18" s="181"/>
      <c r="G18" s="181"/>
      <c r="H18" s="181"/>
      <c r="I18" s="181"/>
      <c r="J18" s="181"/>
      <c r="K18" s="181"/>
      <c r="L18" s="182" t="s">
        <v>3521</v>
      </c>
      <c r="M18" s="183"/>
      <c r="N18" s="183"/>
      <c r="O18" s="183"/>
      <c r="P18" s="183"/>
      <c r="Q18" s="183"/>
      <c r="R18" s="183"/>
      <c r="S18" s="183"/>
      <c r="T18" s="183"/>
      <c r="U18" s="183"/>
      <c r="V18" s="125"/>
      <c r="W18" s="125"/>
      <c r="X18" s="125"/>
      <c r="Y18" s="125"/>
      <c r="Z18" s="125"/>
      <c r="AA18" s="125"/>
      <c r="AB18" s="125"/>
      <c r="AC18" s="125"/>
      <c r="AD18" s="125"/>
      <c r="AE18" s="125"/>
      <c r="AF18" s="125"/>
      <c r="AG18" s="125"/>
      <c r="AH18" s="125"/>
      <c r="AI18" s="125"/>
      <c r="AJ18" s="125"/>
    </row>
    <row r="19" spans="1:36" ht="16.5" customHeight="1">
      <c r="A19" s="120"/>
      <c r="B19" s="184" t="s">
        <v>3522</v>
      </c>
      <c r="C19" s="185"/>
      <c r="D19" s="185"/>
      <c r="E19" s="185"/>
      <c r="F19" s="185"/>
      <c r="G19" s="185"/>
      <c r="H19" s="185"/>
      <c r="I19" s="185"/>
      <c r="J19" s="185"/>
      <c r="K19" s="185"/>
      <c r="L19" s="182" t="s">
        <v>3523</v>
      </c>
      <c r="M19" s="183"/>
      <c r="N19" s="183"/>
      <c r="O19" s="183"/>
      <c r="P19" s="183"/>
      <c r="Q19" s="183"/>
      <c r="R19" s="183"/>
      <c r="S19" s="183"/>
      <c r="T19" s="183"/>
      <c r="U19" s="183"/>
      <c r="V19" s="125"/>
      <c r="W19" s="125"/>
      <c r="X19" s="125"/>
      <c r="Y19" s="125"/>
      <c r="Z19" s="125"/>
      <c r="AA19" s="125"/>
      <c r="AB19" s="125"/>
      <c r="AC19" s="125"/>
      <c r="AD19" s="125"/>
      <c r="AE19" s="125"/>
      <c r="AF19" s="125"/>
      <c r="AG19" s="125"/>
      <c r="AH19" s="125"/>
      <c r="AI19" s="125"/>
      <c r="AJ19" s="125"/>
    </row>
    <row r="20" spans="1:36" ht="16.5" customHeight="1">
      <c r="A20" s="120"/>
      <c r="B20" s="196" t="s">
        <v>3524</v>
      </c>
      <c r="C20" s="197"/>
      <c r="D20" s="197"/>
      <c r="E20" s="197"/>
      <c r="F20" s="197"/>
      <c r="G20" s="197"/>
      <c r="H20" s="197"/>
      <c r="I20" s="197"/>
      <c r="J20" s="197"/>
      <c r="K20" s="197"/>
      <c r="L20" s="182" t="s">
        <v>3525</v>
      </c>
      <c r="M20" s="183"/>
      <c r="N20" s="183"/>
      <c r="O20" s="183"/>
      <c r="P20" s="183"/>
      <c r="Q20" s="183"/>
      <c r="R20" s="183"/>
      <c r="S20" s="183"/>
      <c r="T20" s="183"/>
      <c r="U20" s="183"/>
      <c r="V20" s="125"/>
      <c r="W20" s="125"/>
      <c r="X20" s="125"/>
      <c r="Y20" s="125"/>
      <c r="Z20" s="125"/>
      <c r="AA20" s="125"/>
      <c r="AB20" s="125"/>
      <c r="AC20" s="125"/>
      <c r="AD20" s="125"/>
      <c r="AE20" s="125"/>
      <c r="AF20" s="125"/>
      <c r="AG20" s="125"/>
      <c r="AH20" s="125"/>
      <c r="AI20" s="125"/>
      <c r="AJ20" s="125"/>
    </row>
    <row r="21" spans="1:36">
      <c r="A21" s="120"/>
      <c r="B21" s="170" t="s">
        <v>3526</v>
      </c>
      <c r="C21" s="171"/>
      <c r="D21" s="171"/>
      <c r="E21" s="171"/>
      <c r="F21" s="171"/>
      <c r="G21" s="171"/>
      <c r="H21" s="171"/>
      <c r="I21" s="171"/>
      <c r="J21" s="171"/>
      <c r="K21" s="171"/>
      <c r="L21" s="172" t="s">
        <v>3527</v>
      </c>
      <c r="M21" s="173"/>
      <c r="N21" s="173"/>
      <c r="O21" s="173"/>
      <c r="P21" s="173"/>
      <c r="Q21" s="173"/>
      <c r="R21" s="173"/>
      <c r="S21" s="173"/>
      <c r="T21" s="173"/>
      <c r="U21" s="173"/>
      <c r="V21" s="120"/>
      <c r="W21" s="120"/>
      <c r="X21" s="120"/>
      <c r="Y21" s="120"/>
      <c r="Z21" s="120"/>
      <c r="AA21" s="120"/>
      <c r="AB21" s="120"/>
      <c r="AC21" s="120"/>
      <c r="AD21" s="120"/>
      <c r="AE21" s="120"/>
      <c r="AF21" s="120"/>
      <c r="AG21" s="120"/>
      <c r="AH21" s="120"/>
      <c r="AI21" s="120"/>
      <c r="AJ21" s="122"/>
    </row>
    <row r="22" spans="1:36" ht="16.5" customHeight="1">
      <c r="A22" s="120"/>
      <c r="B22" s="180" t="s">
        <v>3528</v>
      </c>
      <c r="C22" s="181"/>
      <c r="D22" s="181"/>
      <c r="E22" s="181"/>
      <c r="F22" s="181"/>
      <c r="G22" s="181"/>
      <c r="H22" s="181"/>
      <c r="I22" s="181"/>
      <c r="J22" s="181"/>
      <c r="K22" s="181"/>
      <c r="L22" s="182" t="s">
        <v>3529</v>
      </c>
      <c r="M22" s="183"/>
      <c r="N22" s="183"/>
      <c r="O22" s="183"/>
      <c r="P22" s="183"/>
      <c r="Q22" s="183"/>
      <c r="R22" s="183"/>
      <c r="S22" s="183"/>
      <c r="T22" s="183"/>
      <c r="U22" s="183"/>
      <c r="V22" s="120"/>
      <c r="W22" s="120"/>
      <c r="X22" s="120"/>
      <c r="Y22" s="120"/>
      <c r="Z22" s="120"/>
      <c r="AA22" s="120"/>
      <c r="AB22" s="120"/>
      <c r="AC22" s="120"/>
      <c r="AD22" s="120"/>
      <c r="AE22" s="120"/>
      <c r="AF22" s="120"/>
      <c r="AG22" s="120"/>
      <c r="AH22" s="120"/>
      <c r="AI22" s="120"/>
      <c r="AJ22" s="122"/>
    </row>
    <row r="23" spans="1:36" ht="16.5" customHeight="1">
      <c r="A23" s="120"/>
      <c r="B23" s="180" t="s">
        <v>3530</v>
      </c>
      <c r="C23" s="181"/>
      <c r="D23" s="181"/>
      <c r="E23" s="181"/>
      <c r="F23" s="181"/>
      <c r="G23" s="181"/>
      <c r="H23" s="181"/>
      <c r="I23" s="181"/>
      <c r="J23" s="181"/>
      <c r="K23" s="181"/>
      <c r="L23" s="182" t="s">
        <v>3531</v>
      </c>
      <c r="M23" s="183"/>
      <c r="N23" s="183"/>
      <c r="O23" s="183"/>
      <c r="P23" s="183"/>
      <c r="Q23" s="183"/>
      <c r="R23" s="183"/>
      <c r="S23" s="183"/>
      <c r="T23" s="183"/>
      <c r="U23" s="183"/>
      <c r="V23" s="120"/>
      <c r="W23" s="120"/>
      <c r="X23" s="120"/>
      <c r="Y23" s="120"/>
      <c r="Z23" s="120"/>
      <c r="AA23" s="120"/>
      <c r="AB23" s="120"/>
      <c r="AC23" s="120"/>
      <c r="AD23" s="120"/>
      <c r="AE23" s="120"/>
      <c r="AF23" s="120"/>
      <c r="AG23" s="120"/>
      <c r="AH23" s="120"/>
      <c r="AI23" s="120"/>
      <c r="AJ23" s="122"/>
    </row>
    <row r="24" spans="1:36" ht="16.5" customHeight="1">
      <c r="A24" s="120"/>
      <c r="B24" s="184" t="s">
        <v>3532</v>
      </c>
      <c r="C24" s="185"/>
      <c r="D24" s="185"/>
      <c r="E24" s="185"/>
      <c r="F24" s="185"/>
      <c r="G24" s="185"/>
      <c r="H24" s="185"/>
      <c r="I24" s="185"/>
      <c r="J24" s="185"/>
      <c r="K24" s="185"/>
      <c r="L24" s="182" t="s">
        <v>3533</v>
      </c>
      <c r="M24" s="183"/>
      <c r="N24" s="183"/>
      <c r="O24" s="183"/>
      <c r="P24" s="183"/>
      <c r="Q24" s="183"/>
      <c r="R24" s="183"/>
      <c r="S24" s="183"/>
      <c r="T24" s="183"/>
      <c r="U24" s="183"/>
      <c r="V24" s="120"/>
      <c r="W24" s="120"/>
      <c r="X24" s="120"/>
      <c r="Y24" s="120"/>
      <c r="Z24" s="120"/>
      <c r="AA24" s="120"/>
      <c r="AB24" s="120"/>
      <c r="AC24" s="120"/>
      <c r="AD24" s="120"/>
      <c r="AE24" s="120"/>
      <c r="AF24" s="120"/>
      <c r="AG24" s="120"/>
      <c r="AH24" s="120"/>
      <c r="AI24" s="120"/>
      <c r="AJ24" s="122"/>
    </row>
    <row r="25" spans="1:36" ht="16.5" customHeight="1">
      <c r="A25" s="120"/>
      <c r="B25" s="196" t="s">
        <v>3534</v>
      </c>
      <c r="C25" s="197"/>
      <c r="D25" s="197"/>
      <c r="E25" s="197"/>
      <c r="F25" s="197"/>
      <c r="G25" s="197"/>
      <c r="H25" s="197"/>
      <c r="I25" s="197"/>
      <c r="J25" s="197"/>
      <c r="K25" s="197"/>
      <c r="L25" s="198" t="s">
        <v>3533</v>
      </c>
      <c r="M25" s="199"/>
      <c r="N25" s="199"/>
      <c r="O25" s="199"/>
      <c r="P25" s="199"/>
      <c r="Q25" s="199"/>
      <c r="R25" s="199"/>
      <c r="S25" s="199"/>
      <c r="T25" s="199"/>
      <c r="U25" s="199"/>
      <c r="V25" s="120"/>
      <c r="W25" s="120"/>
      <c r="X25" s="120"/>
      <c r="Y25" s="120"/>
      <c r="Z25" s="120"/>
      <c r="AA25" s="120"/>
      <c r="AB25" s="120"/>
      <c r="AC25" s="120"/>
      <c r="AD25" s="120"/>
      <c r="AE25" s="120"/>
      <c r="AF25" s="120"/>
      <c r="AG25" s="120"/>
      <c r="AH25" s="120"/>
      <c r="AI25" s="120"/>
      <c r="AJ25" s="122"/>
    </row>
    <row r="26" spans="1:36" ht="16.5" customHeight="1">
      <c r="A26" s="120"/>
      <c r="B26" s="200" t="s">
        <v>3535</v>
      </c>
      <c r="C26" s="175"/>
      <c r="D26" s="175"/>
      <c r="E26" s="175"/>
      <c r="F26" s="175"/>
      <c r="G26" s="175"/>
      <c r="H26" s="175"/>
      <c r="I26" s="175"/>
      <c r="J26" s="175"/>
      <c r="K26" s="175"/>
      <c r="L26" s="201" t="s">
        <v>3536</v>
      </c>
      <c r="M26" s="177"/>
      <c r="N26" s="177"/>
      <c r="O26" s="177"/>
      <c r="P26" s="177"/>
      <c r="Q26" s="177"/>
      <c r="R26" s="177"/>
      <c r="S26" s="177"/>
      <c r="T26" s="177"/>
      <c r="U26" s="177"/>
      <c r="V26" s="120"/>
      <c r="W26" s="120"/>
      <c r="X26" s="120"/>
      <c r="Y26" s="120"/>
      <c r="Z26" s="120"/>
      <c r="AA26" s="120"/>
      <c r="AB26" s="120"/>
      <c r="AC26" s="120"/>
      <c r="AD26" s="120"/>
      <c r="AE26" s="120"/>
      <c r="AF26" s="120"/>
      <c r="AG26" s="120"/>
      <c r="AH26" s="120"/>
      <c r="AI26" s="120"/>
      <c r="AJ26" s="122"/>
    </row>
    <row r="27" spans="1:36">
      <c r="A27" s="120"/>
      <c r="B27" s="202" t="s">
        <v>3537</v>
      </c>
      <c r="C27" s="203"/>
      <c r="D27" s="203"/>
      <c r="E27" s="203"/>
      <c r="F27" s="203"/>
      <c r="G27" s="203"/>
      <c r="H27" s="203"/>
      <c r="I27" s="203"/>
      <c r="J27" s="203"/>
      <c r="K27" s="203"/>
      <c r="L27" s="204" t="s">
        <v>3538</v>
      </c>
      <c r="M27" s="205"/>
      <c r="N27" s="205"/>
      <c r="O27" s="205"/>
      <c r="P27" s="205"/>
      <c r="Q27" s="205"/>
      <c r="R27" s="205"/>
      <c r="S27" s="205"/>
      <c r="T27" s="205"/>
      <c r="U27" s="205"/>
      <c r="V27" s="120"/>
      <c r="W27" s="120"/>
      <c r="X27" s="120"/>
      <c r="Y27" s="120"/>
      <c r="Z27" s="120"/>
      <c r="AA27" s="120"/>
      <c r="AB27" s="120"/>
      <c r="AC27" s="120"/>
      <c r="AD27" s="120"/>
      <c r="AE27" s="120"/>
      <c r="AF27" s="120"/>
      <c r="AG27" s="120"/>
      <c r="AH27" s="120"/>
      <c r="AI27" s="120"/>
      <c r="AJ27" s="122"/>
    </row>
    <row r="28" spans="1:36">
      <c r="A28" s="120"/>
      <c r="B28" s="206" t="s">
        <v>3539</v>
      </c>
      <c r="C28" s="147"/>
      <c r="D28" s="147"/>
      <c r="E28" s="147"/>
      <c r="F28" s="147"/>
      <c r="G28" s="147"/>
      <c r="H28" s="147"/>
      <c r="I28" s="147"/>
      <c r="J28" s="147"/>
      <c r="K28" s="147"/>
      <c r="L28" s="206" t="s">
        <v>3540</v>
      </c>
      <c r="M28" s="147"/>
      <c r="N28" s="147"/>
      <c r="O28" s="147"/>
      <c r="P28" s="147"/>
      <c r="Q28" s="147"/>
      <c r="R28" s="147"/>
      <c r="S28" s="147"/>
      <c r="T28" s="147"/>
      <c r="U28" s="147"/>
      <c r="V28" s="120"/>
      <c r="W28" s="120"/>
      <c r="X28" s="120"/>
      <c r="Y28" s="120"/>
      <c r="Z28" s="120"/>
      <c r="AA28" s="120"/>
      <c r="AB28" s="120"/>
      <c r="AC28" s="120"/>
      <c r="AD28" s="120"/>
      <c r="AE28" s="120"/>
      <c r="AF28" s="120"/>
      <c r="AG28" s="120"/>
      <c r="AH28" s="120"/>
      <c r="AI28" s="120"/>
      <c r="AJ28" s="122"/>
    </row>
    <row r="29" spans="1:36" ht="36.75" customHeight="1">
      <c r="A29" s="120"/>
      <c r="B29" s="206" t="s">
        <v>3541</v>
      </c>
      <c r="C29" s="147"/>
      <c r="D29" s="147"/>
      <c r="E29" s="147"/>
      <c r="F29" s="147"/>
      <c r="G29" s="147"/>
      <c r="H29" s="147"/>
      <c r="I29" s="147"/>
      <c r="J29" s="147"/>
      <c r="K29" s="147"/>
      <c r="L29" s="206" t="s">
        <v>3542</v>
      </c>
      <c r="M29" s="147"/>
      <c r="N29" s="147"/>
      <c r="O29" s="147"/>
      <c r="P29" s="147"/>
      <c r="Q29" s="147"/>
      <c r="R29" s="147"/>
      <c r="S29" s="147"/>
      <c r="T29" s="147"/>
      <c r="U29" s="147"/>
      <c r="V29" s="120"/>
      <c r="W29" s="120"/>
      <c r="X29" s="120"/>
      <c r="Y29" s="120"/>
      <c r="Z29" s="120"/>
      <c r="AA29" s="120"/>
      <c r="AB29" s="120"/>
      <c r="AC29" s="120"/>
      <c r="AD29" s="120"/>
      <c r="AE29" s="120"/>
      <c r="AF29" s="120"/>
      <c r="AG29" s="120"/>
      <c r="AH29" s="120"/>
      <c r="AI29" s="120"/>
      <c r="AJ29" s="122"/>
    </row>
    <row r="30" spans="1:36" ht="16.5" customHeight="1">
      <c r="A30" s="120"/>
      <c r="B30" s="200" t="s">
        <v>3543</v>
      </c>
      <c r="C30" s="175"/>
      <c r="D30" s="175"/>
      <c r="E30" s="175"/>
      <c r="F30" s="175"/>
      <c r="G30" s="175"/>
      <c r="H30" s="175"/>
      <c r="I30" s="175"/>
      <c r="J30" s="175"/>
      <c r="K30" s="175"/>
      <c r="L30" s="201" t="s">
        <v>3544</v>
      </c>
      <c r="M30" s="177"/>
      <c r="N30" s="177"/>
      <c r="O30" s="177"/>
      <c r="P30" s="177"/>
      <c r="Q30" s="177"/>
      <c r="R30" s="177"/>
      <c r="S30" s="177"/>
      <c r="T30" s="177"/>
      <c r="U30" s="177"/>
      <c r="V30" s="120"/>
      <c r="W30" s="120"/>
      <c r="X30" s="120"/>
      <c r="Y30" s="120"/>
      <c r="Z30" s="120"/>
      <c r="AA30" s="120"/>
      <c r="AB30" s="120"/>
      <c r="AC30" s="120"/>
      <c r="AD30" s="120"/>
      <c r="AE30" s="120"/>
      <c r="AF30" s="120"/>
      <c r="AG30" s="120"/>
      <c r="AH30" s="120"/>
      <c r="AI30" s="120"/>
      <c r="AJ30" s="122"/>
    </row>
    <row r="31" spans="1:36" ht="16.5" customHeight="1">
      <c r="A31" s="120"/>
      <c r="B31" s="180" t="s">
        <v>3545</v>
      </c>
      <c r="C31" s="181"/>
      <c r="D31" s="181"/>
      <c r="E31" s="181"/>
      <c r="F31" s="181"/>
      <c r="G31" s="181"/>
      <c r="H31" s="181"/>
      <c r="I31" s="181"/>
      <c r="J31" s="181"/>
      <c r="K31" s="181"/>
      <c r="L31" s="182" t="s">
        <v>3546</v>
      </c>
      <c r="M31" s="183"/>
      <c r="N31" s="183"/>
      <c r="O31" s="183"/>
      <c r="P31" s="183"/>
      <c r="Q31" s="183"/>
      <c r="R31" s="183"/>
      <c r="S31" s="183"/>
      <c r="T31" s="183"/>
      <c r="U31" s="183"/>
      <c r="V31" s="120"/>
      <c r="W31" s="120"/>
      <c r="X31" s="120"/>
      <c r="Y31" s="120"/>
      <c r="Z31" s="120"/>
      <c r="AA31" s="120"/>
      <c r="AB31" s="120"/>
      <c r="AC31" s="120"/>
      <c r="AD31" s="120"/>
      <c r="AE31" s="120"/>
      <c r="AF31" s="120"/>
      <c r="AG31" s="120"/>
      <c r="AH31" s="120"/>
      <c r="AI31" s="120"/>
      <c r="AJ31" s="122"/>
    </row>
    <row r="32" spans="1:36" ht="16.5" customHeight="1">
      <c r="A32" s="120"/>
      <c r="B32" s="184" t="s">
        <v>3547</v>
      </c>
      <c r="C32" s="185"/>
      <c r="D32" s="185"/>
      <c r="E32" s="185"/>
      <c r="F32" s="185"/>
      <c r="G32" s="185"/>
      <c r="H32" s="185"/>
      <c r="I32" s="185"/>
      <c r="J32" s="185"/>
      <c r="K32" s="185"/>
      <c r="L32" s="182" t="s">
        <v>3548</v>
      </c>
      <c r="M32" s="183"/>
      <c r="N32" s="183"/>
      <c r="O32" s="183"/>
      <c r="P32" s="183"/>
      <c r="Q32" s="183"/>
      <c r="R32" s="183"/>
      <c r="S32" s="183"/>
      <c r="T32" s="183"/>
      <c r="U32" s="183"/>
      <c r="V32" s="120"/>
      <c r="W32" s="120"/>
      <c r="X32" s="120"/>
      <c r="Y32" s="120"/>
      <c r="Z32" s="120"/>
      <c r="AA32" s="120"/>
      <c r="AB32" s="120"/>
      <c r="AC32" s="120"/>
      <c r="AD32" s="120"/>
      <c r="AE32" s="120"/>
      <c r="AF32" s="120"/>
      <c r="AG32" s="120"/>
      <c r="AH32" s="120"/>
      <c r="AI32" s="120"/>
      <c r="AJ32" s="122"/>
    </row>
    <row r="33" spans="1:36" ht="16.5" customHeight="1">
      <c r="A33" s="120"/>
      <c r="B33" s="196" t="s">
        <v>3549</v>
      </c>
      <c r="C33" s="197"/>
      <c r="D33" s="197"/>
      <c r="E33" s="197"/>
      <c r="F33" s="197"/>
      <c r="G33" s="197"/>
      <c r="H33" s="197"/>
      <c r="I33" s="197"/>
      <c r="J33" s="197"/>
      <c r="K33" s="197"/>
      <c r="L33" s="198" t="s">
        <v>3550</v>
      </c>
      <c r="M33" s="199"/>
      <c r="N33" s="199"/>
      <c r="O33" s="199"/>
      <c r="P33" s="199"/>
      <c r="Q33" s="199"/>
      <c r="R33" s="199"/>
      <c r="S33" s="199"/>
      <c r="T33" s="199"/>
      <c r="U33" s="199"/>
      <c r="V33" s="120"/>
      <c r="W33" s="120"/>
      <c r="X33" s="120"/>
      <c r="Y33" s="120"/>
      <c r="Z33" s="120"/>
      <c r="AA33" s="120"/>
      <c r="AB33" s="120"/>
      <c r="AC33" s="120"/>
      <c r="AD33" s="120"/>
      <c r="AE33" s="120"/>
      <c r="AF33" s="120"/>
      <c r="AG33" s="120"/>
      <c r="AH33" s="120"/>
      <c r="AI33" s="120"/>
      <c r="AJ33" s="122"/>
    </row>
    <row r="34" spans="1:36" ht="15">
      <c r="A34" s="127"/>
      <c r="B34" s="178" t="s">
        <v>3551</v>
      </c>
      <c r="C34" s="175"/>
      <c r="D34" s="175"/>
      <c r="E34" s="175"/>
      <c r="F34" s="175"/>
      <c r="G34" s="175"/>
      <c r="H34" s="175"/>
      <c r="I34" s="175"/>
      <c r="J34" s="175"/>
      <c r="K34" s="175"/>
      <c r="L34" s="207" t="s">
        <v>3552</v>
      </c>
      <c r="M34" s="177"/>
      <c r="N34" s="177"/>
      <c r="O34" s="177"/>
      <c r="P34" s="177"/>
      <c r="Q34" s="177"/>
      <c r="R34" s="177"/>
      <c r="S34" s="177"/>
      <c r="T34" s="177"/>
      <c r="U34" s="177"/>
      <c r="V34" s="120"/>
      <c r="W34" s="120"/>
      <c r="X34" s="120"/>
      <c r="Y34" s="120"/>
      <c r="Z34" s="120"/>
      <c r="AA34" s="120"/>
      <c r="AB34" s="120"/>
      <c r="AC34" s="120"/>
      <c r="AD34" s="120"/>
      <c r="AE34" s="120"/>
      <c r="AF34" s="120"/>
      <c r="AG34" s="120"/>
      <c r="AH34" s="120"/>
      <c r="AI34" s="120"/>
      <c r="AJ34" s="122"/>
    </row>
    <row r="35" spans="1:36">
      <c r="A35" s="120"/>
      <c r="B35" s="170" t="s">
        <v>3553</v>
      </c>
      <c r="C35" s="171"/>
      <c r="D35" s="171"/>
      <c r="E35" s="171"/>
      <c r="F35" s="171"/>
      <c r="G35" s="171"/>
      <c r="H35" s="171"/>
      <c r="I35" s="171"/>
      <c r="J35" s="171"/>
      <c r="K35" s="171"/>
      <c r="L35" s="172" t="s">
        <v>3554</v>
      </c>
      <c r="M35" s="173"/>
      <c r="N35" s="173"/>
      <c r="O35" s="173"/>
      <c r="P35" s="173"/>
      <c r="Q35" s="173"/>
      <c r="R35" s="173"/>
      <c r="S35" s="173"/>
      <c r="T35" s="173"/>
      <c r="U35" s="173"/>
      <c r="V35" s="120"/>
      <c r="W35" s="120"/>
      <c r="X35" s="120"/>
      <c r="Y35" s="120"/>
      <c r="Z35" s="120"/>
      <c r="AA35" s="120"/>
      <c r="AB35" s="120"/>
      <c r="AC35" s="120"/>
      <c r="AD35" s="120"/>
      <c r="AE35" s="120"/>
      <c r="AF35" s="120"/>
      <c r="AG35" s="120"/>
      <c r="AH35" s="120"/>
      <c r="AI35" s="120"/>
      <c r="AJ35" s="122"/>
    </row>
    <row r="36" spans="1:36" ht="16.5" customHeight="1">
      <c r="A36" s="120"/>
      <c r="B36" s="180" t="s">
        <v>3555</v>
      </c>
      <c r="C36" s="181"/>
      <c r="D36" s="181"/>
      <c r="E36" s="181"/>
      <c r="F36" s="181"/>
      <c r="G36" s="181"/>
      <c r="H36" s="181"/>
      <c r="I36" s="181"/>
      <c r="J36" s="181"/>
      <c r="K36" s="181"/>
      <c r="L36" s="182" t="s">
        <v>3556</v>
      </c>
      <c r="M36" s="183"/>
      <c r="N36" s="183"/>
      <c r="O36" s="183"/>
      <c r="P36" s="183"/>
      <c r="Q36" s="183"/>
      <c r="R36" s="183"/>
      <c r="S36" s="183"/>
      <c r="T36" s="183"/>
      <c r="U36" s="183"/>
      <c r="V36" s="120"/>
      <c r="W36" s="120"/>
      <c r="X36" s="120"/>
      <c r="Y36" s="120"/>
      <c r="Z36" s="120"/>
      <c r="AA36" s="120"/>
      <c r="AB36" s="120"/>
      <c r="AC36" s="120"/>
      <c r="AD36" s="120"/>
      <c r="AE36" s="120"/>
      <c r="AF36" s="120"/>
      <c r="AG36" s="120"/>
      <c r="AH36" s="120"/>
      <c r="AI36" s="120"/>
      <c r="AJ36" s="122"/>
    </row>
    <row r="37" spans="1:36" ht="16.5" customHeight="1">
      <c r="A37" s="120"/>
      <c r="B37" s="180" t="s">
        <v>3557</v>
      </c>
      <c r="C37" s="181"/>
      <c r="D37" s="181"/>
      <c r="E37" s="181"/>
      <c r="F37" s="181"/>
      <c r="G37" s="181"/>
      <c r="H37" s="181"/>
      <c r="I37" s="181"/>
      <c r="J37" s="181"/>
      <c r="K37" s="181"/>
      <c r="L37" s="182" t="s">
        <v>3558</v>
      </c>
      <c r="M37" s="183"/>
      <c r="N37" s="183"/>
      <c r="O37" s="183"/>
      <c r="P37" s="183"/>
      <c r="Q37" s="183"/>
      <c r="R37" s="183"/>
      <c r="S37" s="183"/>
      <c r="T37" s="183"/>
      <c r="U37" s="183"/>
      <c r="V37" s="120"/>
      <c r="W37" s="120"/>
      <c r="X37" s="120"/>
      <c r="Y37" s="120"/>
      <c r="Z37" s="120"/>
      <c r="AA37" s="120"/>
      <c r="AB37" s="120"/>
      <c r="AC37" s="120"/>
      <c r="AD37" s="120"/>
      <c r="AE37" s="120"/>
      <c r="AF37" s="120"/>
      <c r="AG37" s="120"/>
      <c r="AH37" s="120"/>
      <c r="AI37" s="120"/>
      <c r="AJ37" s="122"/>
    </row>
    <row r="38" spans="1:36" ht="16.5" customHeight="1">
      <c r="A38" s="120"/>
      <c r="B38" s="184" t="s">
        <v>3559</v>
      </c>
      <c r="C38" s="185"/>
      <c r="D38" s="185"/>
      <c r="E38" s="185"/>
      <c r="F38" s="185"/>
      <c r="G38" s="185"/>
      <c r="H38" s="185"/>
      <c r="I38" s="185"/>
      <c r="J38" s="185"/>
      <c r="K38" s="185"/>
      <c r="L38" s="182" t="s">
        <v>3560</v>
      </c>
      <c r="M38" s="183"/>
      <c r="N38" s="183"/>
      <c r="O38" s="183"/>
      <c r="P38" s="183"/>
      <c r="Q38" s="183"/>
      <c r="R38" s="183"/>
      <c r="S38" s="183"/>
      <c r="T38" s="183"/>
      <c r="U38" s="183"/>
      <c r="V38" s="120"/>
      <c r="W38" s="120"/>
      <c r="X38" s="120"/>
      <c r="Y38" s="120"/>
      <c r="Z38" s="120"/>
      <c r="AA38" s="120"/>
      <c r="AB38" s="120"/>
      <c r="AC38" s="120"/>
      <c r="AD38" s="120"/>
      <c r="AE38" s="120"/>
      <c r="AF38" s="120"/>
      <c r="AG38" s="120"/>
      <c r="AH38" s="120"/>
      <c r="AI38" s="120"/>
      <c r="AJ38" s="122"/>
    </row>
    <row r="39" spans="1:36" ht="16.5" customHeight="1">
      <c r="A39" s="120"/>
      <c r="B39" s="196" t="s">
        <v>3561</v>
      </c>
      <c r="C39" s="197"/>
      <c r="D39" s="197"/>
      <c r="E39" s="197"/>
      <c r="F39" s="197"/>
      <c r="G39" s="197"/>
      <c r="H39" s="197"/>
      <c r="I39" s="197"/>
      <c r="J39" s="197"/>
      <c r="K39" s="197"/>
      <c r="L39" s="198" t="s">
        <v>3562</v>
      </c>
      <c r="M39" s="199"/>
      <c r="N39" s="199"/>
      <c r="O39" s="199"/>
      <c r="P39" s="199"/>
      <c r="Q39" s="199"/>
      <c r="R39" s="199"/>
      <c r="S39" s="199"/>
      <c r="T39" s="199"/>
      <c r="U39" s="199"/>
      <c r="V39" s="120"/>
      <c r="W39" s="120"/>
      <c r="X39" s="120"/>
      <c r="Y39" s="120"/>
      <c r="Z39" s="120"/>
      <c r="AA39" s="120"/>
      <c r="AB39" s="120"/>
      <c r="AC39" s="120"/>
      <c r="AD39" s="120"/>
      <c r="AE39" s="120"/>
      <c r="AF39" s="120"/>
      <c r="AG39" s="120"/>
      <c r="AH39" s="120"/>
      <c r="AI39" s="120"/>
      <c r="AJ39" s="122"/>
    </row>
    <row r="40" spans="1:36">
      <c r="A40" s="120"/>
      <c r="B40" s="170" t="s">
        <v>3563</v>
      </c>
      <c r="C40" s="171"/>
      <c r="D40" s="171"/>
      <c r="E40" s="171"/>
      <c r="F40" s="171"/>
      <c r="G40" s="171"/>
      <c r="H40" s="171"/>
      <c r="I40" s="171"/>
      <c r="J40" s="171"/>
      <c r="K40" s="171"/>
      <c r="L40" s="172" t="s">
        <v>3564</v>
      </c>
      <c r="M40" s="173"/>
      <c r="N40" s="173"/>
      <c r="O40" s="173"/>
      <c r="P40" s="173"/>
      <c r="Q40" s="173"/>
      <c r="R40" s="173"/>
      <c r="S40" s="173"/>
      <c r="T40" s="173"/>
      <c r="U40" s="173"/>
      <c r="V40" s="120"/>
      <c r="W40" s="120"/>
      <c r="X40" s="120"/>
      <c r="Y40" s="120"/>
      <c r="Z40" s="120"/>
      <c r="AA40" s="120"/>
      <c r="AB40" s="120"/>
      <c r="AC40" s="120"/>
      <c r="AD40" s="120"/>
      <c r="AE40" s="120"/>
      <c r="AF40" s="120"/>
      <c r="AG40" s="120"/>
      <c r="AH40" s="120"/>
      <c r="AI40" s="120"/>
      <c r="AJ40" s="122"/>
    </row>
    <row r="41" spans="1:36" ht="16.5" customHeight="1">
      <c r="A41" s="120"/>
      <c r="B41" s="180" t="s">
        <v>3565</v>
      </c>
      <c r="C41" s="181"/>
      <c r="D41" s="181"/>
      <c r="E41" s="181"/>
      <c r="F41" s="181"/>
      <c r="G41" s="181"/>
      <c r="H41" s="181"/>
      <c r="I41" s="181"/>
      <c r="J41" s="181"/>
      <c r="K41" s="181"/>
      <c r="L41" s="182" t="s">
        <v>3566</v>
      </c>
      <c r="M41" s="183"/>
      <c r="N41" s="183"/>
      <c r="O41" s="183"/>
      <c r="P41" s="183"/>
      <c r="Q41" s="183"/>
      <c r="R41" s="183"/>
      <c r="S41" s="183"/>
      <c r="T41" s="183"/>
      <c r="U41" s="183"/>
      <c r="V41" s="120"/>
      <c r="W41" s="120"/>
      <c r="X41" s="120"/>
      <c r="Y41" s="120"/>
      <c r="Z41" s="120"/>
      <c r="AA41" s="120"/>
      <c r="AB41" s="120"/>
      <c r="AC41" s="120"/>
      <c r="AD41" s="120"/>
      <c r="AE41" s="120"/>
      <c r="AF41" s="120"/>
      <c r="AG41" s="120"/>
      <c r="AH41" s="120"/>
      <c r="AI41" s="120"/>
      <c r="AJ41" s="122"/>
    </row>
    <row r="42" spans="1:36" ht="16.5" customHeight="1">
      <c r="A42" s="120"/>
      <c r="B42" s="180" t="s">
        <v>3567</v>
      </c>
      <c r="C42" s="181"/>
      <c r="D42" s="181"/>
      <c r="E42" s="181"/>
      <c r="F42" s="181"/>
      <c r="G42" s="181"/>
      <c r="H42" s="181"/>
      <c r="I42" s="181"/>
      <c r="J42" s="181"/>
      <c r="K42" s="181"/>
      <c r="L42" s="182" t="s">
        <v>3568</v>
      </c>
      <c r="M42" s="183"/>
      <c r="N42" s="183"/>
      <c r="O42" s="183"/>
      <c r="P42" s="183"/>
      <c r="Q42" s="183"/>
      <c r="R42" s="183"/>
      <c r="S42" s="183"/>
      <c r="T42" s="183"/>
      <c r="U42" s="183"/>
      <c r="V42" s="120"/>
      <c r="W42" s="120"/>
      <c r="X42" s="120"/>
      <c r="Y42" s="120"/>
      <c r="Z42" s="120"/>
      <c r="AA42" s="120"/>
      <c r="AB42" s="120"/>
      <c r="AC42" s="120"/>
      <c r="AD42" s="120"/>
      <c r="AE42" s="120"/>
      <c r="AF42" s="120"/>
      <c r="AG42" s="120"/>
      <c r="AH42" s="120"/>
      <c r="AI42" s="120"/>
      <c r="AJ42" s="122"/>
    </row>
    <row r="43" spans="1:36" ht="16.5" customHeight="1">
      <c r="A43" s="120"/>
      <c r="B43" s="184" t="s">
        <v>3569</v>
      </c>
      <c r="C43" s="185"/>
      <c r="D43" s="185"/>
      <c r="E43" s="185"/>
      <c r="F43" s="185"/>
      <c r="G43" s="185"/>
      <c r="H43" s="185"/>
      <c r="I43" s="185"/>
      <c r="J43" s="185"/>
      <c r="K43" s="185"/>
      <c r="L43" s="182" t="s">
        <v>3570</v>
      </c>
      <c r="M43" s="183"/>
      <c r="N43" s="183"/>
      <c r="O43" s="183"/>
      <c r="P43" s="183"/>
      <c r="Q43" s="183"/>
      <c r="R43" s="183"/>
      <c r="S43" s="183"/>
      <c r="T43" s="183"/>
      <c r="U43" s="183"/>
      <c r="V43" s="120"/>
      <c r="W43" s="120"/>
      <c r="X43" s="120"/>
      <c r="Y43" s="120"/>
      <c r="Z43" s="120"/>
      <c r="AA43" s="120"/>
      <c r="AB43" s="120"/>
      <c r="AC43" s="120"/>
      <c r="AD43" s="120"/>
      <c r="AE43" s="120"/>
      <c r="AF43" s="120"/>
      <c r="AG43" s="120"/>
      <c r="AH43" s="120"/>
      <c r="AI43" s="120"/>
      <c r="AJ43" s="122"/>
    </row>
    <row r="44" spans="1:36" ht="16.5" customHeight="1">
      <c r="A44" s="120"/>
      <c r="B44" s="196" t="s">
        <v>3571</v>
      </c>
      <c r="C44" s="197"/>
      <c r="D44" s="197"/>
      <c r="E44" s="197"/>
      <c r="F44" s="197"/>
      <c r="G44" s="197"/>
      <c r="H44" s="197"/>
      <c r="I44" s="197"/>
      <c r="J44" s="197"/>
      <c r="K44" s="197"/>
      <c r="L44" s="198" t="s">
        <v>3572</v>
      </c>
      <c r="M44" s="199"/>
      <c r="N44" s="199"/>
      <c r="O44" s="199"/>
      <c r="P44" s="199"/>
      <c r="Q44" s="199"/>
      <c r="R44" s="199"/>
      <c r="S44" s="199"/>
      <c r="T44" s="199"/>
      <c r="U44" s="199"/>
      <c r="V44" s="120"/>
      <c r="W44" s="120"/>
      <c r="X44" s="120"/>
      <c r="Y44" s="120"/>
      <c r="Z44" s="120"/>
      <c r="AA44" s="120"/>
      <c r="AB44" s="120"/>
      <c r="AC44" s="120"/>
      <c r="AD44" s="120"/>
      <c r="AE44" s="120"/>
      <c r="AF44" s="120"/>
      <c r="AG44" s="120"/>
      <c r="AH44" s="120"/>
      <c r="AI44" s="120"/>
      <c r="AJ44" s="122"/>
    </row>
    <row r="45" spans="1:36">
      <c r="A45" s="120"/>
      <c r="B45" s="170" t="s">
        <v>3573</v>
      </c>
      <c r="C45" s="171"/>
      <c r="D45" s="171"/>
      <c r="E45" s="171"/>
      <c r="F45" s="171"/>
      <c r="G45" s="171"/>
      <c r="H45" s="171"/>
      <c r="I45" s="171"/>
      <c r="J45" s="171"/>
      <c r="K45" s="171"/>
      <c r="L45" s="172" t="s">
        <v>3574</v>
      </c>
      <c r="M45" s="173"/>
      <c r="N45" s="173"/>
      <c r="O45" s="173"/>
      <c r="P45" s="173"/>
      <c r="Q45" s="173"/>
      <c r="R45" s="173"/>
      <c r="S45" s="173"/>
      <c r="T45" s="173"/>
      <c r="U45" s="173"/>
      <c r="V45" s="120"/>
      <c r="W45" s="120"/>
      <c r="X45" s="120"/>
      <c r="Y45" s="120"/>
      <c r="Z45" s="120"/>
      <c r="AA45" s="120"/>
      <c r="AB45" s="120"/>
      <c r="AC45" s="120"/>
      <c r="AD45" s="120"/>
      <c r="AE45" s="120"/>
      <c r="AF45" s="120"/>
      <c r="AG45" s="120"/>
      <c r="AH45" s="120"/>
      <c r="AI45" s="120"/>
      <c r="AJ45" s="126"/>
    </row>
    <row r="46" spans="1:36" ht="16.5" customHeight="1">
      <c r="A46" s="120"/>
      <c r="B46" s="180" t="s">
        <v>3575</v>
      </c>
      <c r="C46" s="181"/>
      <c r="D46" s="181"/>
      <c r="E46" s="181"/>
      <c r="F46" s="181"/>
      <c r="G46" s="181"/>
      <c r="H46" s="181"/>
      <c r="I46" s="181"/>
      <c r="J46" s="181"/>
      <c r="K46" s="181"/>
      <c r="L46" s="182" t="s">
        <v>3576</v>
      </c>
      <c r="M46" s="183"/>
      <c r="N46" s="183"/>
      <c r="O46" s="183"/>
      <c r="P46" s="183"/>
      <c r="Q46" s="183"/>
      <c r="R46" s="183"/>
      <c r="S46" s="183"/>
      <c r="T46" s="183"/>
      <c r="U46" s="183"/>
      <c r="V46" s="120"/>
      <c r="W46" s="120"/>
      <c r="X46" s="120"/>
      <c r="Y46" s="120"/>
      <c r="Z46" s="120"/>
      <c r="AA46" s="120"/>
      <c r="AB46" s="120"/>
      <c r="AC46" s="120"/>
      <c r="AD46" s="120"/>
      <c r="AE46" s="120"/>
      <c r="AF46" s="120"/>
      <c r="AG46" s="120"/>
      <c r="AH46" s="120"/>
      <c r="AI46" s="120"/>
      <c r="AJ46" s="122"/>
    </row>
    <row r="47" spans="1:36" ht="16.5" customHeight="1">
      <c r="A47" s="120"/>
      <c r="B47" s="180" t="s">
        <v>3577</v>
      </c>
      <c r="C47" s="181"/>
      <c r="D47" s="181"/>
      <c r="E47" s="181"/>
      <c r="F47" s="181"/>
      <c r="G47" s="181"/>
      <c r="H47" s="181"/>
      <c r="I47" s="181"/>
      <c r="J47" s="181"/>
      <c r="K47" s="181"/>
      <c r="L47" s="182" t="s">
        <v>3578</v>
      </c>
      <c r="M47" s="183"/>
      <c r="N47" s="183"/>
      <c r="O47" s="183"/>
      <c r="P47" s="183"/>
      <c r="Q47" s="183"/>
      <c r="R47" s="183"/>
      <c r="S47" s="183"/>
      <c r="T47" s="183"/>
      <c r="U47" s="183"/>
      <c r="V47" s="120"/>
      <c r="W47" s="120"/>
      <c r="X47" s="120"/>
      <c r="Y47" s="120"/>
      <c r="Z47" s="120"/>
      <c r="AA47" s="120"/>
      <c r="AB47" s="120"/>
      <c r="AC47" s="120"/>
      <c r="AD47" s="120"/>
      <c r="AE47" s="120"/>
      <c r="AF47" s="120"/>
      <c r="AG47" s="120"/>
      <c r="AH47" s="120"/>
      <c r="AI47" s="120"/>
      <c r="AJ47" s="122"/>
    </row>
    <row r="48" spans="1:36" ht="16.5" customHeight="1">
      <c r="A48" s="120"/>
      <c r="B48" s="184" t="s">
        <v>3579</v>
      </c>
      <c r="C48" s="185"/>
      <c r="D48" s="185"/>
      <c r="E48" s="185"/>
      <c r="F48" s="185"/>
      <c r="G48" s="185"/>
      <c r="H48" s="185"/>
      <c r="I48" s="185"/>
      <c r="J48" s="185"/>
      <c r="K48" s="185"/>
      <c r="L48" s="182" t="s">
        <v>3580</v>
      </c>
      <c r="M48" s="183"/>
      <c r="N48" s="183"/>
      <c r="O48" s="183"/>
      <c r="P48" s="183"/>
      <c r="Q48" s="183"/>
      <c r="R48" s="183"/>
      <c r="S48" s="183"/>
      <c r="T48" s="183"/>
      <c r="U48" s="183"/>
      <c r="V48" s="120"/>
      <c r="W48" s="120"/>
      <c r="X48" s="120"/>
      <c r="Y48" s="120"/>
      <c r="Z48" s="120"/>
      <c r="AA48" s="120"/>
      <c r="AB48" s="120"/>
      <c r="AC48" s="120"/>
      <c r="AD48" s="120"/>
      <c r="AE48" s="120"/>
      <c r="AF48" s="120"/>
      <c r="AG48" s="120"/>
      <c r="AH48" s="120"/>
      <c r="AI48" s="120"/>
      <c r="AJ48" s="126"/>
    </row>
    <row r="49" spans="1:36">
      <c r="A49" s="120"/>
      <c r="B49" s="170" t="s">
        <v>3581</v>
      </c>
      <c r="C49" s="171"/>
      <c r="D49" s="171"/>
      <c r="E49" s="171"/>
      <c r="F49" s="171"/>
      <c r="G49" s="171"/>
      <c r="H49" s="171"/>
      <c r="I49" s="171"/>
      <c r="J49" s="171"/>
      <c r="K49" s="171"/>
      <c r="L49" s="172" t="s">
        <v>3582</v>
      </c>
      <c r="M49" s="173"/>
      <c r="N49" s="173"/>
      <c r="O49" s="173"/>
      <c r="P49" s="173"/>
      <c r="Q49" s="173"/>
      <c r="R49" s="173"/>
      <c r="S49" s="173"/>
      <c r="T49" s="173"/>
      <c r="U49" s="173"/>
      <c r="V49" s="120"/>
      <c r="W49" s="120"/>
      <c r="X49" s="120"/>
      <c r="Y49" s="120"/>
      <c r="Z49" s="120"/>
      <c r="AA49" s="120"/>
      <c r="AB49" s="120"/>
      <c r="AC49" s="120"/>
      <c r="AD49" s="120"/>
      <c r="AE49" s="120"/>
      <c r="AF49" s="120"/>
      <c r="AG49" s="120"/>
      <c r="AH49" s="120"/>
      <c r="AI49" s="120"/>
      <c r="AJ49" s="122"/>
    </row>
    <row r="50" spans="1:36" ht="16.5" customHeight="1">
      <c r="A50" s="120"/>
      <c r="B50" s="180" t="s">
        <v>3583</v>
      </c>
      <c r="C50" s="181"/>
      <c r="D50" s="181"/>
      <c r="E50" s="181"/>
      <c r="F50" s="181"/>
      <c r="G50" s="181"/>
      <c r="H50" s="181"/>
      <c r="I50" s="181"/>
      <c r="J50" s="181"/>
      <c r="K50" s="181"/>
      <c r="L50" s="182" t="s">
        <v>3584</v>
      </c>
      <c r="M50" s="183"/>
      <c r="N50" s="183"/>
      <c r="O50" s="183"/>
      <c r="P50" s="183"/>
      <c r="Q50" s="183"/>
      <c r="R50" s="183"/>
      <c r="S50" s="183"/>
      <c r="T50" s="183"/>
      <c r="U50" s="183"/>
      <c r="V50" s="120"/>
      <c r="W50" s="120"/>
      <c r="X50" s="120"/>
      <c r="Y50" s="120"/>
      <c r="Z50" s="120"/>
      <c r="AA50" s="120"/>
      <c r="AB50" s="120"/>
      <c r="AC50" s="120"/>
      <c r="AD50" s="120"/>
      <c r="AE50" s="120"/>
      <c r="AF50" s="120"/>
      <c r="AG50" s="120"/>
      <c r="AH50" s="120"/>
      <c r="AI50" s="120"/>
      <c r="AJ50" s="122"/>
    </row>
    <row r="51" spans="1:36" ht="16.5" customHeight="1">
      <c r="A51" s="120"/>
      <c r="B51" s="180" t="s">
        <v>3585</v>
      </c>
      <c r="C51" s="181"/>
      <c r="D51" s="181"/>
      <c r="E51" s="181"/>
      <c r="F51" s="181"/>
      <c r="G51" s="181"/>
      <c r="H51" s="181"/>
      <c r="I51" s="181"/>
      <c r="J51" s="181"/>
      <c r="K51" s="181"/>
      <c r="L51" s="182" t="s">
        <v>3584</v>
      </c>
      <c r="M51" s="183"/>
      <c r="N51" s="183"/>
      <c r="O51" s="183"/>
      <c r="P51" s="183"/>
      <c r="Q51" s="183"/>
      <c r="R51" s="183"/>
      <c r="S51" s="183"/>
      <c r="T51" s="183"/>
      <c r="U51" s="183"/>
      <c r="V51" s="120"/>
      <c r="W51" s="120"/>
      <c r="X51" s="120"/>
      <c r="Y51" s="120"/>
      <c r="Z51" s="120"/>
      <c r="AA51" s="120"/>
      <c r="AB51" s="120"/>
      <c r="AC51" s="120"/>
      <c r="AD51" s="120"/>
      <c r="AE51" s="120"/>
      <c r="AF51" s="120"/>
      <c r="AG51" s="120"/>
      <c r="AH51" s="120"/>
      <c r="AI51" s="120"/>
      <c r="AJ51" s="126"/>
    </row>
    <row r="52" spans="1:36" ht="16.5" customHeight="1">
      <c r="A52" s="120"/>
      <c r="B52" s="180" t="s">
        <v>3586</v>
      </c>
      <c r="C52" s="181"/>
      <c r="D52" s="181"/>
      <c r="E52" s="181"/>
      <c r="F52" s="181"/>
      <c r="G52" s="181"/>
      <c r="H52" s="181"/>
      <c r="I52" s="181"/>
      <c r="J52" s="181"/>
      <c r="K52" s="181"/>
      <c r="L52" s="182" t="s">
        <v>3587</v>
      </c>
      <c r="M52" s="183"/>
      <c r="N52" s="183"/>
      <c r="O52" s="183"/>
      <c r="P52" s="183"/>
      <c r="Q52" s="183"/>
      <c r="R52" s="183"/>
      <c r="S52" s="183"/>
      <c r="T52" s="183"/>
      <c r="U52" s="183"/>
      <c r="V52" s="120"/>
      <c r="W52" s="120"/>
      <c r="X52" s="120"/>
      <c r="Y52" s="120"/>
      <c r="Z52" s="120"/>
      <c r="AA52" s="120"/>
      <c r="AB52" s="120"/>
      <c r="AC52" s="120"/>
      <c r="AD52" s="120"/>
      <c r="AE52" s="120"/>
      <c r="AF52" s="120"/>
      <c r="AG52" s="120"/>
      <c r="AH52" s="120"/>
      <c r="AI52" s="120"/>
      <c r="AJ52" s="122"/>
    </row>
    <row r="53" spans="1:36" ht="16.5" customHeight="1">
      <c r="A53" s="120"/>
      <c r="B53" s="180" t="s">
        <v>3588</v>
      </c>
      <c r="C53" s="181"/>
      <c r="D53" s="181"/>
      <c r="E53" s="181"/>
      <c r="F53" s="181"/>
      <c r="G53" s="181"/>
      <c r="H53" s="181"/>
      <c r="I53" s="181"/>
      <c r="J53" s="181"/>
      <c r="K53" s="181"/>
      <c r="L53" s="182" t="s">
        <v>3589</v>
      </c>
      <c r="M53" s="183"/>
      <c r="N53" s="183"/>
      <c r="O53" s="183"/>
      <c r="P53" s="183"/>
      <c r="Q53" s="183"/>
      <c r="R53" s="183"/>
      <c r="S53" s="183"/>
      <c r="T53" s="183"/>
      <c r="U53" s="183"/>
      <c r="V53" s="120"/>
      <c r="W53" s="120"/>
      <c r="X53" s="120"/>
      <c r="Y53" s="120"/>
      <c r="Z53" s="120"/>
      <c r="AA53" s="120"/>
      <c r="AB53" s="120"/>
      <c r="AC53" s="120"/>
      <c r="AD53" s="120"/>
      <c r="AE53" s="120"/>
      <c r="AF53" s="120"/>
      <c r="AG53" s="120"/>
      <c r="AH53" s="120"/>
      <c r="AI53" s="120"/>
      <c r="AJ53" s="122"/>
    </row>
    <row r="54" spans="1:36">
      <c r="A54" s="120"/>
      <c r="B54" s="170" t="s">
        <v>3590</v>
      </c>
      <c r="C54" s="171"/>
      <c r="D54" s="171"/>
      <c r="E54" s="171"/>
      <c r="F54" s="171"/>
      <c r="G54" s="171"/>
      <c r="H54" s="171"/>
      <c r="I54" s="171"/>
      <c r="J54" s="171"/>
      <c r="K54" s="171"/>
      <c r="L54" s="172" t="s">
        <v>3591</v>
      </c>
      <c r="M54" s="173"/>
      <c r="N54" s="173"/>
      <c r="O54" s="173"/>
      <c r="P54" s="173"/>
      <c r="Q54" s="173"/>
      <c r="R54" s="173"/>
      <c r="S54" s="173"/>
      <c r="T54" s="173"/>
      <c r="U54" s="173"/>
      <c r="V54" s="120"/>
      <c r="W54" s="120"/>
      <c r="X54" s="120"/>
      <c r="Y54" s="120"/>
      <c r="Z54" s="120"/>
      <c r="AA54" s="120"/>
      <c r="AB54" s="120"/>
      <c r="AC54" s="120"/>
      <c r="AD54" s="120"/>
      <c r="AE54" s="120"/>
      <c r="AF54" s="120"/>
      <c r="AG54" s="120"/>
      <c r="AH54" s="120"/>
      <c r="AI54" s="120"/>
      <c r="AJ54" s="126"/>
    </row>
    <row r="55" spans="1:36" ht="16.5" customHeight="1">
      <c r="A55" s="120"/>
      <c r="B55" s="180" t="s">
        <v>3592</v>
      </c>
      <c r="C55" s="181"/>
      <c r="D55" s="181"/>
      <c r="E55" s="181"/>
      <c r="F55" s="181"/>
      <c r="G55" s="181"/>
      <c r="H55" s="181"/>
      <c r="I55" s="181"/>
      <c r="J55" s="181"/>
      <c r="K55" s="181"/>
      <c r="L55" s="182" t="s">
        <v>3593</v>
      </c>
      <c r="M55" s="183"/>
      <c r="N55" s="183"/>
      <c r="O55" s="183"/>
      <c r="P55" s="183"/>
      <c r="Q55" s="183"/>
      <c r="R55" s="183"/>
      <c r="S55" s="183"/>
      <c r="T55" s="183"/>
      <c r="U55" s="183"/>
      <c r="V55" s="120"/>
      <c r="W55" s="120"/>
      <c r="X55" s="120"/>
      <c r="Y55" s="120"/>
      <c r="Z55" s="120"/>
      <c r="AA55" s="120"/>
      <c r="AB55" s="120"/>
      <c r="AC55" s="120"/>
      <c r="AD55" s="120"/>
      <c r="AE55" s="120"/>
      <c r="AF55" s="120"/>
      <c r="AG55" s="120"/>
      <c r="AH55" s="120"/>
      <c r="AI55" s="120"/>
      <c r="AJ55" s="122"/>
    </row>
    <row r="56" spans="1:36" ht="18" customHeight="1">
      <c r="A56" s="120"/>
      <c r="B56" s="180" t="s">
        <v>3594</v>
      </c>
      <c r="C56" s="181"/>
      <c r="D56" s="181"/>
      <c r="E56" s="181"/>
      <c r="F56" s="181"/>
      <c r="G56" s="181"/>
      <c r="H56" s="181"/>
      <c r="I56" s="181"/>
      <c r="J56" s="181"/>
      <c r="K56" s="181"/>
      <c r="L56" s="182" t="s">
        <v>3595</v>
      </c>
      <c r="M56" s="183"/>
      <c r="N56" s="183"/>
      <c r="O56" s="183"/>
      <c r="P56" s="183"/>
      <c r="Q56" s="183"/>
      <c r="R56" s="183"/>
      <c r="S56" s="183"/>
      <c r="T56" s="183"/>
      <c r="U56" s="183"/>
      <c r="V56" s="120"/>
      <c r="W56" s="120"/>
      <c r="X56" s="120"/>
      <c r="Y56" s="120"/>
      <c r="Z56" s="120"/>
      <c r="AA56" s="120"/>
      <c r="AB56" s="120"/>
      <c r="AC56" s="120"/>
      <c r="AD56" s="120"/>
      <c r="AE56" s="120"/>
      <c r="AF56" s="120"/>
      <c r="AG56" s="120"/>
      <c r="AH56" s="120"/>
      <c r="AI56" s="120"/>
      <c r="AJ56" s="122"/>
    </row>
    <row r="57" spans="1:36">
      <c r="A57" s="120"/>
      <c r="B57" s="170" t="s">
        <v>3596</v>
      </c>
      <c r="C57" s="171"/>
      <c r="D57" s="171"/>
      <c r="E57" s="171"/>
      <c r="F57" s="171"/>
      <c r="G57" s="171"/>
      <c r="H57" s="171"/>
      <c r="I57" s="171"/>
      <c r="J57" s="171"/>
      <c r="K57" s="171"/>
      <c r="L57" s="172" t="s">
        <v>3597</v>
      </c>
      <c r="M57" s="173"/>
      <c r="N57" s="173"/>
      <c r="O57" s="173"/>
      <c r="P57" s="173"/>
      <c r="Q57" s="173"/>
      <c r="R57" s="173"/>
      <c r="S57" s="173"/>
      <c r="T57" s="173"/>
      <c r="U57" s="173"/>
      <c r="V57" s="120"/>
      <c r="W57" s="120"/>
      <c r="X57" s="120"/>
      <c r="Y57" s="120"/>
      <c r="Z57" s="120"/>
      <c r="AA57" s="120"/>
      <c r="AB57" s="120"/>
      <c r="AC57" s="120"/>
      <c r="AD57" s="120"/>
      <c r="AE57" s="120"/>
      <c r="AF57" s="120"/>
      <c r="AG57" s="120"/>
      <c r="AH57" s="120"/>
      <c r="AI57" s="120"/>
      <c r="AJ57" s="126"/>
    </row>
    <row r="58" spans="1:36" ht="16.5" customHeight="1">
      <c r="A58" s="120"/>
      <c r="B58" s="180" t="s">
        <v>3598</v>
      </c>
      <c r="C58" s="181"/>
      <c r="D58" s="181"/>
      <c r="E58" s="181"/>
      <c r="F58" s="181"/>
      <c r="G58" s="181"/>
      <c r="H58" s="181"/>
      <c r="I58" s="181"/>
      <c r="J58" s="181"/>
      <c r="K58" s="181"/>
      <c r="L58" s="182" t="s">
        <v>3599</v>
      </c>
      <c r="M58" s="183"/>
      <c r="N58" s="183"/>
      <c r="O58" s="183"/>
      <c r="P58" s="183"/>
      <c r="Q58" s="183"/>
      <c r="R58" s="183"/>
      <c r="S58" s="183"/>
      <c r="T58" s="183"/>
      <c r="U58" s="183"/>
      <c r="V58" s="120"/>
      <c r="W58" s="120"/>
      <c r="X58" s="120"/>
      <c r="Y58" s="120"/>
      <c r="Z58" s="120"/>
      <c r="AA58" s="120"/>
      <c r="AB58" s="120"/>
      <c r="AC58" s="120"/>
      <c r="AD58" s="120"/>
      <c r="AE58" s="120"/>
      <c r="AF58" s="120"/>
      <c r="AG58" s="120"/>
      <c r="AH58" s="120"/>
      <c r="AI58" s="120"/>
      <c r="AJ58" s="122"/>
    </row>
    <row r="59" spans="1:36" ht="16.5" customHeight="1">
      <c r="A59" s="120"/>
      <c r="B59" s="184" t="s">
        <v>3600</v>
      </c>
      <c r="C59" s="185"/>
      <c r="D59" s="185"/>
      <c r="E59" s="185"/>
      <c r="F59" s="185"/>
      <c r="G59" s="185"/>
      <c r="H59" s="185"/>
      <c r="I59" s="185"/>
      <c r="J59" s="185"/>
      <c r="K59" s="185"/>
      <c r="L59" s="182" t="s">
        <v>3601</v>
      </c>
      <c r="M59" s="183"/>
      <c r="N59" s="183"/>
      <c r="O59" s="183"/>
      <c r="P59" s="183"/>
      <c r="Q59" s="183"/>
      <c r="R59" s="183"/>
      <c r="S59" s="183"/>
      <c r="T59" s="183"/>
      <c r="U59" s="183"/>
      <c r="V59" s="120"/>
      <c r="W59" s="120"/>
      <c r="X59" s="120"/>
      <c r="Y59" s="120"/>
      <c r="Z59" s="120"/>
      <c r="AA59" s="120"/>
      <c r="AB59" s="120"/>
      <c r="AC59" s="120"/>
      <c r="AD59" s="120"/>
      <c r="AE59" s="120"/>
      <c r="AF59" s="120"/>
      <c r="AG59" s="120"/>
      <c r="AH59" s="120"/>
      <c r="AI59" s="120"/>
      <c r="AJ59" s="122"/>
    </row>
    <row r="60" spans="1:36">
      <c r="A60" s="120"/>
      <c r="B60" s="170" t="s">
        <v>3602</v>
      </c>
      <c r="C60" s="171"/>
      <c r="D60" s="171"/>
      <c r="E60" s="171"/>
      <c r="F60" s="171"/>
      <c r="G60" s="171"/>
      <c r="H60" s="171"/>
      <c r="I60" s="171"/>
      <c r="J60" s="171"/>
      <c r="K60" s="171"/>
      <c r="L60" s="172" t="s">
        <v>3603</v>
      </c>
      <c r="M60" s="173"/>
      <c r="N60" s="173"/>
      <c r="O60" s="173"/>
      <c r="P60" s="173"/>
      <c r="Q60" s="173"/>
      <c r="R60" s="173"/>
      <c r="S60" s="173"/>
      <c r="T60" s="173"/>
      <c r="U60" s="173"/>
      <c r="V60" s="120"/>
      <c r="W60" s="120"/>
      <c r="X60" s="120"/>
      <c r="Y60" s="120"/>
      <c r="Z60" s="120"/>
      <c r="AA60" s="120"/>
      <c r="AB60" s="120"/>
      <c r="AC60" s="120"/>
      <c r="AD60" s="120"/>
      <c r="AE60" s="120"/>
      <c r="AF60" s="120"/>
      <c r="AG60" s="120"/>
      <c r="AH60" s="120"/>
      <c r="AI60" s="120"/>
      <c r="AJ60" s="126"/>
    </row>
    <row r="61" spans="1:36" ht="16.5" customHeight="1">
      <c r="A61" s="120"/>
      <c r="B61" s="180" t="s">
        <v>3604</v>
      </c>
      <c r="C61" s="181"/>
      <c r="D61" s="181"/>
      <c r="E61" s="181"/>
      <c r="F61" s="181"/>
      <c r="G61" s="181"/>
      <c r="H61" s="181"/>
      <c r="I61" s="181"/>
      <c r="J61" s="181"/>
      <c r="K61" s="181"/>
      <c r="L61" s="182" t="s">
        <v>3605</v>
      </c>
      <c r="M61" s="183"/>
      <c r="N61" s="183"/>
      <c r="O61" s="183"/>
      <c r="P61" s="183"/>
      <c r="Q61" s="183"/>
      <c r="R61" s="183"/>
      <c r="S61" s="183"/>
      <c r="T61" s="183"/>
      <c r="U61" s="183"/>
      <c r="V61" s="120"/>
      <c r="W61" s="120"/>
      <c r="X61" s="120"/>
      <c r="Y61" s="120"/>
      <c r="Z61" s="120"/>
      <c r="AA61" s="120"/>
      <c r="AB61" s="120"/>
      <c r="AC61" s="120"/>
      <c r="AD61" s="120"/>
      <c r="AE61" s="120"/>
      <c r="AF61" s="120"/>
      <c r="AG61" s="120"/>
      <c r="AH61" s="120"/>
      <c r="AI61" s="120"/>
      <c r="AJ61" s="122"/>
    </row>
    <row r="62" spans="1:36" ht="16.5" customHeight="1">
      <c r="A62" s="120"/>
      <c r="B62" s="180" t="s">
        <v>3606</v>
      </c>
      <c r="C62" s="181"/>
      <c r="D62" s="181"/>
      <c r="E62" s="181"/>
      <c r="F62" s="181"/>
      <c r="G62" s="181"/>
      <c r="H62" s="181"/>
      <c r="I62" s="181"/>
      <c r="J62" s="181"/>
      <c r="K62" s="181"/>
      <c r="L62" s="182" t="s">
        <v>3607</v>
      </c>
      <c r="M62" s="183"/>
      <c r="N62" s="183"/>
      <c r="O62" s="183"/>
      <c r="P62" s="183"/>
      <c r="Q62" s="183"/>
      <c r="R62" s="183"/>
      <c r="S62" s="183"/>
      <c r="T62" s="183"/>
      <c r="U62" s="183"/>
      <c r="V62" s="120"/>
      <c r="W62" s="120"/>
      <c r="X62" s="120"/>
      <c r="Y62" s="120"/>
      <c r="Z62" s="120"/>
      <c r="AA62" s="120"/>
      <c r="AB62" s="120"/>
      <c r="AC62" s="120"/>
      <c r="AD62" s="120"/>
      <c r="AE62" s="120"/>
      <c r="AF62" s="120"/>
      <c r="AG62" s="120"/>
      <c r="AH62" s="120"/>
      <c r="AI62" s="120"/>
      <c r="AJ62" s="122"/>
    </row>
    <row r="63" spans="1:36" ht="16.5" customHeight="1">
      <c r="A63" s="120"/>
      <c r="B63" s="184" t="s">
        <v>3608</v>
      </c>
      <c r="C63" s="185"/>
      <c r="D63" s="185"/>
      <c r="E63" s="185"/>
      <c r="F63" s="185"/>
      <c r="G63" s="185"/>
      <c r="H63" s="185"/>
      <c r="I63" s="185"/>
      <c r="J63" s="185"/>
      <c r="K63" s="185"/>
      <c r="L63" s="182" t="s">
        <v>3609</v>
      </c>
      <c r="M63" s="183"/>
      <c r="N63" s="183"/>
      <c r="O63" s="183"/>
      <c r="P63" s="183"/>
      <c r="Q63" s="183"/>
      <c r="R63" s="183"/>
      <c r="S63" s="183"/>
      <c r="T63" s="183"/>
      <c r="U63" s="183"/>
      <c r="V63" s="120"/>
      <c r="W63" s="120"/>
      <c r="X63" s="120"/>
      <c r="Y63" s="120"/>
      <c r="Z63" s="120"/>
      <c r="AA63" s="120"/>
      <c r="AB63" s="120"/>
      <c r="AC63" s="120"/>
      <c r="AD63" s="120"/>
      <c r="AE63" s="120"/>
      <c r="AF63" s="120"/>
      <c r="AG63" s="120"/>
      <c r="AH63" s="120"/>
      <c r="AI63" s="120"/>
      <c r="AJ63" s="126"/>
    </row>
    <row r="64" spans="1:36" ht="16.5" customHeight="1">
      <c r="A64" s="120"/>
      <c r="B64" s="196" t="s">
        <v>3610</v>
      </c>
      <c r="C64" s="197"/>
      <c r="D64" s="197"/>
      <c r="E64" s="197"/>
      <c r="F64" s="197"/>
      <c r="G64" s="197"/>
      <c r="H64" s="197"/>
      <c r="I64" s="197"/>
      <c r="J64" s="197"/>
      <c r="K64" s="197"/>
      <c r="L64" s="198" t="s">
        <v>3611</v>
      </c>
      <c r="M64" s="199"/>
      <c r="N64" s="199"/>
      <c r="O64" s="199"/>
      <c r="P64" s="199"/>
      <c r="Q64" s="199"/>
      <c r="R64" s="199"/>
      <c r="S64" s="199"/>
      <c r="T64" s="199"/>
      <c r="U64" s="199"/>
      <c r="V64" s="123"/>
      <c r="W64" s="123"/>
      <c r="X64" s="123"/>
      <c r="Y64" s="123"/>
      <c r="Z64" s="123"/>
      <c r="AA64" s="123"/>
      <c r="AB64" s="123"/>
      <c r="AC64" s="123"/>
      <c r="AD64" s="123"/>
      <c r="AE64" s="123"/>
      <c r="AF64" s="123"/>
      <c r="AG64" s="123"/>
      <c r="AH64" s="123"/>
      <c r="AI64" s="123"/>
      <c r="AJ64" s="124"/>
    </row>
    <row r="65" spans="1:36">
      <c r="A65" s="120"/>
      <c r="B65" s="196" t="s">
        <v>3612</v>
      </c>
      <c r="C65" s="197"/>
      <c r="D65" s="197"/>
      <c r="E65" s="197"/>
      <c r="F65" s="197"/>
      <c r="G65" s="197"/>
      <c r="H65" s="197"/>
      <c r="I65" s="197"/>
      <c r="J65" s="197"/>
      <c r="K65" s="197"/>
      <c r="L65" s="198" t="s">
        <v>3613</v>
      </c>
      <c r="M65" s="199"/>
      <c r="N65" s="199"/>
      <c r="O65" s="199"/>
      <c r="P65" s="199"/>
      <c r="Q65" s="199"/>
      <c r="R65" s="199"/>
      <c r="S65" s="199"/>
      <c r="T65" s="199"/>
      <c r="U65" s="199"/>
      <c r="V65" s="120"/>
      <c r="W65" s="120"/>
      <c r="X65" s="120"/>
      <c r="Y65" s="120"/>
      <c r="Z65" s="120"/>
      <c r="AA65" s="120"/>
      <c r="AB65" s="120"/>
      <c r="AC65" s="120"/>
      <c r="AD65" s="120"/>
      <c r="AE65" s="120"/>
      <c r="AF65" s="120"/>
      <c r="AG65" s="120"/>
      <c r="AH65" s="120"/>
      <c r="AI65" s="120"/>
      <c r="AJ65" s="120"/>
    </row>
    <row r="66" spans="1:36">
      <c r="A66" s="120"/>
      <c r="B66" s="196" t="s">
        <v>3614</v>
      </c>
      <c r="C66" s="197"/>
      <c r="D66" s="197"/>
      <c r="E66" s="197"/>
      <c r="F66" s="197"/>
      <c r="G66" s="197"/>
      <c r="H66" s="197"/>
      <c r="I66" s="197"/>
      <c r="J66" s="197"/>
      <c r="K66" s="197"/>
      <c r="L66" s="198" t="s">
        <v>3615</v>
      </c>
      <c r="M66" s="199"/>
      <c r="N66" s="199"/>
      <c r="O66" s="199"/>
      <c r="P66" s="199"/>
      <c r="Q66" s="199"/>
      <c r="R66" s="199"/>
      <c r="S66" s="199"/>
      <c r="T66" s="199"/>
      <c r="U66" s="199"/>
      <c r="V66" s="120"/>
      <c r="W66" s="120"/>
      <c r="X66" s="120"/>
      <c r="Y66" s="120"/>
      <c r="Z66" s="120"/>
      <c r="AA66" s="120"/>
      <c r="AB66" s="120"/>
      <c r="AC66" s="120"/>
      <c r="AD66" s="120"/>
      <c r="AE66" s="120"/>
      <c r="AF66" s="120"/>
      <c r="AG66" s="120"/>
      <c r="AH66" s="120"/>
      <c r="AI66" s="120"/>
      <c r="AJ66" s="120"/>
    </row>
    <row r="67" spans="1:36">
      <c r="A67" s="120"/>
      <c r="B67" s="170" t="s">
        <v>3616</v>
      </c>
      <c r="C67" s="171"/>
      <c r="D67" s="171"/>
      <c r="E67" s="171"/>
      <c r="F67" s="171"/>
      <c r="G67" s="171"/>
      <c r="H67" s="171"/>
      <c r="I67" s="171"/>
      <c r="J67" s="171"/>
      <c r="K67" s="171"/>
      <c r="L67" s="172" t="s">
        <v>3617</v>
      </c>
      <c r="M67" s="173"/>
      <c r="N67" s="173"/>
      <c r="O67" s="173"/>
      <c r="P67" s="173"/>
      <c r="Q67" s="173"/>
      <c r="R67" s="173"/>
      <c r="S67" s="173"/>
      <c r="T67" s="173"/>
      <c r="U67" s="173"/>
      <c r="V67" s="120"/>
      <c r="W67" s="120"/>
      <c r="X67" s="120"/>
      <c r="Y67" s="120"/>
      <c r="Z67" s="120"/>
      <c r="AA67" s="120"/>
      <c r="AB67" s="120"/>
      <c r="AC67" s="120"/>
      <c r="AD67" s="120"/>
      <c r="AE67" s="120"/>
      <c r="AF67" s="120"/>
      <c r="AG67" s="120"/>
      <c r="AH67" s="120"/>
      <c r="AI67" s="120"/>
      <c r="AJ67" s="122"/>
    </row>
    <row r="68" spans="1:36" ht="16.5" customHeight="1">
      <c r="A68" s="120"/>
      <c r="B68" s="180" t="s">
        <v>3618</v>
      </c>
      <c r="C68" s="181"/>
      <c r="D68" s="181"/>
      <c r="E68" s="181"/>
      <c r="F68" s="181"/>
      <c r="G68" s="181"/>
      <c r="H68" s="181"/>
      <c r="I68" s="181"/>
      <c r="J68" s="181"/>
      <c r="K68" s="181"/>
      <c r="L68" s="182" t="s">
        <v>3619</v>
      </c>
      <c r="M68" s="183"/>
      <c r="N68" s="183"/>
      <c r="O68" s="183"/>
      <c r="P68" s="183"/>
      <c r="Q68" s="183"/>
      <c r="R68" s="183"/>
      <c r="S68" s="183"/>
      <c r="T68" s="183"/>
      <c r="U68" s="183"/>
      <c r="V68" s="120"/>
      <c r="W68" s="120"/>
      <c r="X68" s="120"/>
      <c r="Y68" s="120"/>
      <c r="Z68" s="120"/>
      <c r="AA68" s="120"/>
      <c r="AB68" s="120"/>
      <c r="AC68" s="120"/>
      <c r="AD68" s="120"/>
      <c r="AE68" s="120"/>
      <c r="AF68" s="120"/>
      <c r="AG68" s="120"/>
      <c r="AH68" s="120"/>
      <c r="AI68" s="120"/>
      <c r="AJ68" s="126"/>
    </row>
    <row r="69" spans="1:36" ht="16.5" customHeight="1">
      <c r="A69" s="120"/>
      <c r="B69" s="180" t="s">
        <v>3620</v>
      </c>
      <c r="C69" s="181"/>
      <c r="D69" s="181"/>
      <c r="E69" s="181"/>
      <c r="F69" s="181"/>
      <c r="G69" s="181"/>
      <c r="H69" s="181"/>
      <c r="I69" s="181"/>
      <c r="J69" s="181"/>
      <c r="K69" s="181"/>
      <c r="L69" s="182" t="s">
        <v>3621</v>
      </c>
      <c r="M69" s="183"/>
      <c r="N69" s="183"/>
      <c r="O69" s="183"/>
      <c r="P69" s="183"/>
      <c r="Q69" s="183"/>
      <c r="R69" s="183"/>
      <c r="S69" s="183"/>
      <c r="T69" s="183"/>
      <c r="U69" s="183"/>
      <c r="V69" s="120"/>
      <c r="W69" s="120"/>
      <c r="X69" s="120"/>
      <c r="Y69" s="120"/>
      <c r="Z69" s="120"/>
      <c r="AA69" s="120"/>
      <c r="AB69" s="120"/>
      <c r="AC69" s="120"/>
      <c r="AD69" s="120"/>
      <c r="AE69" s="120"/>
      <c r="AF69" s="120"/>
      <c r="AG69" s="120"/>
      <c r="AH69" s="120"/>
      <c r="AI69" s="120"/>
      <c r="AJ69" s="122"/>
    </row>
    <row r="70" spans="1:36" ht="16.5" customHeight="1">
      <c r="A70" s="120"/>
      <c r="B70" s="184" t="s">
        <v>3622</v>
      </c>
      <c r="C70" s="185"/>
      <c r="D70" s="185"/>
      <c r="E70" s="185"/>
      <c r="F70" s="185"/>
      <c r="G70" s="185"/>
      <c r="H70" s="185"/>
      <c r="I70" s="185"/>
      <c r="J70" s="185"/>
      <c r="K70" s="185"/>
      <c r="L70" s="182" t="s">
        <v>3623</v>
      </c>
      <c r="M70" s="183"/>
      <c r="N70" s="183"/>
      <c r="O70" s="183"/>
      <c r="P70" s="183"/>
      <c r="Q70" s="183"/>
      <c r="R70" s="183"/>
      <c r="S70" s="183"/>
      <c r="T70" s="183"/>
      <c r="U70" s="183"/>
      <c r="V70" s="120"/>
      <c r="W70" s="120"/>
      <c r="X70" s="120"/>
      <c r="Y70" s="120"/>
      <c r="Z70" s="120"/>
      <c r="AA70" s="120"/>
      <c r="AB70" s="120"/>
      <c r="AC70" s="120"/>
      <c r="AD70" s="120"/>
      <c r="AE70" s="120"/>
      <c r="AF70" s="120"/>
      <c r="AG70" s="120"/>
      <c r="AH70" s="120"/>
      <c r="AI70" s="120"/>
      <c r="AJ70" s="122"/>
    </row>
    <row r="71" spans="1:36">
      <c r="B71" s="184" t="s">
        <v>3624</v>
      </c>
      <c r="C71" s="185"/>
      <c r="D71" s="185"/>
      <c r="E71" s="185"/>
      <c r="F71" s="185"/>
      <c r="G71" s="185"/>
      <c r="H71" s="185"/>
      <c r="I71" s="185"/>
      <c r="J71" s="185"/>
      <c r="K71" s="185"/>
      <c r="L71" s="182" t="s">
        <v>3625</v>
      </c>
      <c r="M71" s="183"/>
      <c r="N71" s="183"/>
      <c r="O71" s="183"/>
      <c r="P71" s="183"/>
      <c r="Q71" s="183"/>
      <c r="R71" s="183"/>
      <c r="S71" s="183"/>
      <c r="T71" s="183"/>
      <c r="U71" s="183"/>
      <c r="V71" s="120"/>
      <c r="W71" s="120"/>
      <c r="X71" s="120"/>
      <c r="Y71" s="120"/>
      <c r="Z71" s="120"/>
      <c r="AA71" s="120"/>
      <c r="AB71" s="120"/>
      <c r="AC71" s="120"/>
      <c r="AD71" s="120"/>
      <c r="AE71" s="120"/>
      <c r="AF71" s="120"/>
      <c r="AG71" s="120"/>
      <c r="AH71" s="120"/>
      <c r="AI71" s="120"/>
      <c r="AJ71" s="120"/>
    </row>
    <row r="72" spans="1:36">
      <c r="B72" s="184" t="s">
        <v>3626</v>
      </c>
      <c r="C72" s="185"/>
      <c r="D72" s="185"/>
      <c r="E72" s="185"/>
      <c r="F72" s="185"/>
      <c r="G72" s="185"/>
      <c r="H72" s="185"/>
      <c r="I72" s="185"/>
      <c r="J72" s="185"/>
      <c r="K72" s="185"/>
      <c r="L72" s="182" t="s">
        <v>3627</v>
      </c>
      <c r="M72" s="183"/>
      <c r="N72" s="183"/>
      <c r="O72" s="183"/>
      <c r="P72" s="183"/>
      <c r="Q72" s="183"/>
      <c r="R72" s="183"/>
      <c r="S72" s="183"/>
      <c r="T72" s="183"/>
      <c r="U72" s="183"/>
      <c r="V72" s="120"/>
      <c r="W72" s="120"/>
      <c r="X72" s="120"/>
      <c r="Y72" s="120"/>
      <c r="Z72" s="120"/>
      <c r="AA72" s="120"/>
      <c r="AB72" s="120"/>
      <c r="AC72" s="120"/>
      <c r="AD72" s="120"/>
      <c r="AE72" s="120"/>
      <c r="AF72" s="120"/>
      <c r="AG72" s="120"/>
      <c r="AH72" s="120"/>
      <c r="AI72" s="120"/>
      <c r="AJ72" s="120"/>
    </row>
    <row r="73" spans="1:36">
      <c r="B73" s="184" t="s">
        <v>3628</v>
      </c>
      <c r="C73" s="185"/>
      <c r="D73" s="185"/>
      <c r="E73" s="185"/>
      <c r="F73" s="185"/>
      <c r="G73" s="185"/>
      <c r="H73" s="185"/>
      <c r="I73" s="185"/>
      <c r="J73" s="185"/>
      <c r="K73" s="185"/>
      <c r="L73" s="182" t="s">
        <v>3629</v>
      </c>
      <c r="M73" s="183"/>
      <c r="N73" s="183"/>
      <c r="O73" s="183"/>
      <c r="P73" s="183"/>
      <c r="Q73" s="183"/>
      <c r="R73" s="183"/>
      <c r="S73" s="183"/>
      <c r="T73" s="183"/>
      <c r="U73" s="183"/>
      <c r="V73" s="120"/>
      <c r="W73" s="120"/>
      <c r="X73" s="120"/>
      <c r="Y73" s="120"/>
      <c r="Z73" s="120"/>
      <c r="AA73" s="120"/>
      <c r="AB73" s="120"/>
      <c r="AC73" s="120"/>
      <c r="AD73" s="120"/>
      <c r="AE73" s="120"/>
      <c r="AF73" s="120"/>
      <c r="AG73" s="120"/>
      <c r="AH73" s="120"/>
      <c r="AI73" s="120"/>
      <c r="AJ73" s="120"/>
    </row>
    <row r="74" spans="1:36">
      <c r="B74" s="196"/>
      <c r="C74" s="197"/>
      <c r="D74" s="197"/>
      <c r="E74" s="197"/>
      <c r="F74" s="197"/>
      <c r="G74" s="197"/>
      <c r="H74" s="197"/>
      <c r="I74" s="197"/>
      <c r="J74" s="197"/>
      <c r="K74" s="197"/>
      <c r="L74" s="198"/>
      <c r="M74" s="199"/>
      <c r="N74" s="199"/>
      <c r="O74" s="199"/>
      <c r="P74" s="199"/>
      <c r="Q74" s="199"/>
      <c r="R74" s="199"/>
      <c r="S74" s="199"/>
      <c r="T74" s="199"/>
      <c r="U74" s="199"/>
      <c r="V74" s="120"/>
      <c r="W74" s="120"/>
      <c r="X74" s="120"/>
      <c r="Y74" s="120"/>
      <c r="Z74" s="120"/>
      <c r="AA74" s="120"/>
      <c r="AB74" s="120"/>
      <c r="AC74" s="120"/>
      <c r="AD74" s="120"/>
      <c r="AE74" s="120"/>
      <c r="AF74" s="120"/>
      <c r="AG74" s="120"/>
      <c r="AH74" s="120"/>
      <c r="AI74" s="120"/>
      <c r="AJ74" s="120"/>
    </row>
    <row r="75" spans="1:36">
      <c r="V75" s="120"/>
      <c r="W75" s="120"/>
      <c r="X75" s="120"/>
      <c r="Y75" s="120"/>
      <c r="Z75" s="120"/>
      <c r="AA75" s="120"/>
      <c r="AB75" s="120"/>
      <c r="AC75" s="120"/>
      <c r="AD75" s="120"/>
      <c r="AE75" s="120"/>
      <c r="AF75" s="120"/>
      <c r="AG75" s="120"/>
      <c r="AH75" s="120"/>
      <c r="AI75" s="120"/>
      <c r="AJ75" s="120"/>
    </row>
    <row r="76" spans="1:36">
      <c r="V76" s="120"/>
      <c r="W76" s="120"/>
      <c r="X76" s="120"/>
      <c r="Y76" s="120"/>
      <c r="Z76" s="120"/>
      <c r="AA76" s="120"/>
      <c r="AB76" s="120"/>
      <c r="AC76" s="120"/>
      <c r="AD76" s="120"/>
      <c r="AE76" s="120"/>
      <c r="AF76" s="120"/>
      <c r="AG76" s="120"/>
      <c r="AH76" s="120"/>
      <c r="AI76" s="120"/>
      <c r="AJ76" s="126"/>
    </row>
    <row r="77" spans="1:36">
      <c r="V77" s="120"/>
      <c r="W77" s="120"/>
      <c r="X77" s="120"/>
      <c r="Y77" s="120"/>
      <c r="Z77" s="120"/>
      <c r="AA77" s="120"/>
      <c r="AB77" s="120"/>
      <c r="AC77" s="120"/>
      <c r="AD77" s="120"/>
      <c r="AE77" s="120"/>
      <c r="AF77" s="120"/>
      <c r="AG77" s="120"/>
      <c r="AH77" s="120"/>
      <c r="AI77" s="120"/>
      <c r="AJ77" s="120"/>
    </row>
    <row r="78" spans="1:36">
      <c r="V78" s="120"/>
      <c r="W78" s="120"/>
      <c r="X78" s="120"/>
      <c r="Y78" s="120"/>
      <c r="Z78" s="120"/>
      <c r="AA78" s="120"/>
      <c r="AB78" s="120"/>
      <c r="AC78" s="120"/>
      <c r="AD78" s="120"/>
      <c r="AE78" s="120"/>
      <c r="AF78" s="120"/>
      <c r="AG78" s="120"/>
      <c r="AH78" s="120"/>
      <c r="AI78" s="120"/>
      <c r="AJ78" s="120"/>
    </row>
  </sheetData>
  <mergeCells count="145">
    <mergeCell ref="B70:K70"/>
    <mergeCell ref="L70:U70"/>
    <mergeCell ref="B74:K74"/>
    <mergeCell ref="L74:U74"/>
    <mergeCell ref="L12:U12"/>
    <mergeCell ref="B12:K12"/>
    <mergeCell ref="B65:K65"/>
    <mergeCell ref="L65:U65"/>
    <mergeCell ref="B66:K66"/>
    <mergeCell ref="L66:U66"/>
    <mergeCell ref="B71:K71"/>
    <mergeCell ref="L71:U71"/>
    <mergeCell ref="B72:K72"/>
    <mergeCell ref="L72:U72"/>
    <mergeCell ref="B73:K73"/>
    <mergeCell ref="L73:U73"/>
    <mergeCell ref="B63:K63"/>
    <mergeCell ref="L63:U63"/>
    <mergeCell ref="B64:K64"/>
    <mergeCell ref="L64:U64"/>
    <mergeCell ref="B67:K67"/>
    <mergeCell ref="L67:U67"/>
    <mergeCell ref="B68:K68"/>
    <mergeCell ref="L68:U68"/>
    <mergeCell ref="B69:K69"/>
    <mergeCell ref="L69:U69"/>
    <mergeCell ref="B58:K58"/>
    <mergeCell ref="L58:U58"/>
    <mergeCell ref="B59:K59"/>
    <mergeCell ref="L59:U59"/>
    <mergeCell ref="B60:K60"/>
    <mergeCell ref="L60:U60"/>
    <mergeCell ref="B61:K61"/>
    <mergeCell ref="L61:U61"/>
    <mergeCell ref="B62:K62"/>
    <mergeCell ref="L62:U62"/>
    <mergeCell ref="B53:K53"/>
    <mergeCell ref="L53:U53"/>
    <mergeCell ref="B54:K54"/>
    <mergeCell ref="L54:U54"/>
    <mergeCell ref="B55:K55"/>
    <mergeCell ref="L55:U55"/>
    <mergeCell ref="B56:K56"/>
    <mergeCell ref="L56:U56"/>
    <mergeCell ref="B57:K57"/>
    <mergeCell ref="L57:U57"/>
    <mergeCell ref="B48:K48"/>
    <mergeCell ref="L48:U48"/>
    <mergeCell ref="B49:K49"/>
    <mergeCell ref="L49:U49"/>
    <mergeCell ref="B50:K50"/>
    <mergeCell ref="L50:U50"/>
    <mergeCell ref="B51:K51"/>
    <mergeCell ref="L51:U51"/>
    <mergeCell ref="B52:K52"/>
    <mergeCell ref="L52:U52"/>
    <mergeCell ref="B43:K43"/>
    <mergeCell ref="L43:U43"/>
    <mergeCell ref="B44:K44"/>
    <mergeCell ref="L44:U44"/>
    <mergeCell ref="B45:K45"/>
    <mergeCell ref="L45:U45"/>
    <mergeCell ref="B46:K46"/>
    <mergeCell ref="L46:U46"/>
    <mergeCell ref="B47:K47"/>
    <mergeCell ref="L47:U47"/>
    <mergeCell ref="B38:K38"/>
    <mergeCell ref="L38:U38"/>
    <mergeCell ref="B39:K39"/>
    <mergeCell ref="L39:U39"/>
    <mergeCell ref="B40:K40"/>
    <mergeCell ref="L40:U40"/>
    <mergeCell ref="B41:K41"/>
    <mergeCell ref="L41:U41"/>
    <mergeCell ref="B42:K42"/>
    <mergeCell ref="L42:U42"/>
    <mergeCell ref="B33:K33"/>
    <mergeCell ref="L33:U33"/>
    <mergeCell ref="B34:K34"/>
    <mergeCell ref="L34:U34"/>
    <mergeCell ref="B35:K35"/>
    <mergeCell ref="L35:U35"/>
    <mergeCell ref="B36:K36"/>
    <mergeCell ref="L36:U36"/>
    <mergeCell ref="B37:K37"/>
    <mergeCell ref="L37:U37"/>
    <mergeCell ref="B28:K28"/>
    <mergeCell ref="L28:U28"/>
    <mergeCell ref="B29:K29"/>
    <mergeCell ref="L29:U29"/>
    <mergeCell ref="B30:K30"/>
    <mergeCell ref="L30:U30"/>
    <mergeCell ref="B31:K31"/>
    <mergeCell ref="L31:U31"/>
    <mergeCell ref="B32:K32"/>
    <mergeCell ref="L32:U32"/>
    <mergeCell ref="B23:K23"/>
    <mergeCell ref="L23:U23"/>
    <mergeCell ref="B24:K24"/>
    <mergeCell ref="L24:U24"/>
    <mergeCell ref="B25:K25"/>
    <mergeCell ref="L25:U25"/>
    <mergeCell ref="B26:K26"/>
    <mergeCell ref="L26:U26"/>
    <mergeCell ref="B27:K27"/>
    <mergeCell ref="L27:U27"/>
    <mergeCell ref="B18:K18"/>
    <mergeCell ref="L18:U18"/>
    <mergeCell ref="B19:K19"/>
    <mergeCell ref="L19:U19"/>
    <mergeCell ref="B20:K20"/>
    <mergeCell ref="L20:U20"/>
    <mergeCell ref="B21:K21"/>
    <mergeCell ref="L21:U21"/>
    <mergeCell ref="B22:K22"/>
    <mergeCell ref="L22:U22"/>
    <mergeCell ref="B13:K13"/>
    <mergeCell ref="L13:U13"/>
    <mergeCell ref="B14:K14"/>
    <mergeCell ref="L14:U14"/>
    <mergeCell ref="B15:K15"/>
    <mergeCell ref="L15:U15"/>
    <mergeCell ref="B16:K16"/>
    <mergeCell ref="L16:U16"/>
    <mergeCell ref="B17:K17"/>
    <mergeCell ref="L17:U17"/>
    <mergeCell ref="B7:K7"/>
    <mergeCell ref="L7:U7"/>
    <mergeCell ref="B8:K8"/>
    <mergeCell ref="L8:U8"/>
    <mergeCell ref="B9:K9"/>
    <mergeCell ref="L9:U9"/>
    <mergeCell ref="B10:K10"/>
    <mergeCell ref="L10:U10"/>
    <mergeCell ref="B11:K11"/>
    <mergeCell ref="L11:U11"/>
    <mergeCell ref="B2:U2"/>
    <mergeCell ref="B3:K3"/>
    <mergeCell ref="L3:U3"/>
    <mergeCell ref="B4:K4"/>
    <mergeCell ref="L4:U4"/>
    <mergeCell ref="B5:K5"/>
    <mergeCell ref="L5:U5"/>
    <mergeCell ref="B6:K6"/>
    <mergeCell ref="L6:U6"/>
  </mergeCells>
  <phoneticPr fontId="3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商务英语交流常用必背句子">
    <tabColor rgb="FFFFFFFF"/>
  </sheetPr>
  <dimension ref="A1:C243"/>
  <sheetViews>
    <sheetView topLeftCell="A76" workbookViewId="0"/>
  </sheetViews>
  <sheetFormatPr defaultRowHeight="14"/>
  <cols>
    <col min="1" max="1" width="14.1796875" style="129" customWidth="1"/>
    <col min="2" max="2" width="96.81640625" style="129" customWidth="1"/>
    <col min="3" max="3" width="78.90625" style="129" customWidth="1"/>
  </cols>
  <sheetData>
    <row r="1" spans="1:3" ht="15.5">
      <c r="A1" s="128" t="s">
        <v>245</v>
      </c>
      <c r="B1" s="128" t="s">
        <v>3630</v>
      </c>
      <c r="C1" s="128" t="s">
        <v>3631</v>
      </c>
    </row>
    <row r="2" spans="1:3" ht="15.5">
      <c r="A2" s="128" t="s">
        <v>3632</v>
      </c>
      <c r="B2" s="128"/>
      <c r="C2" s="128"/>
    </row>
    <row r="3" spans="1:3" ht="15.5">
      <c r="A3" s="129">
        <v>1</v>
      </c>
      <c r="B3" s="129" t="s">
        <v>3633</v>
      </c>
      <c r="C3" s="129" t="s">
        <v>3634</v>
      </c>
    </row>
    <row r="4" spans="1:3" ht="15.5">
      <c r="A4" s="129">
        <v>2</v>
      </c>
      <c r="B4" s="129" t="s">
        <v>3635</v>
      </c>
      <c r="C4" s="129" t="s">
        <v>3636</v>
      </c>
    </row>
    <row r="5" spans="1:3" ht="15.5">
      <c r="A5" s="129">
        <v>3</v>
      </c>
      <c r="B5" s="129" t="s">
        <v>3637</v>
      </c>
      <c r="C5" s="129" t="s">
        <v>3638</v>
      </c>
    </row>
    <row r="6" spans="1:3" ht="15.5">
      <c r="A6" s="129">
        <v>4</v>
      </c>
      <c r="B6" s="129" t="s">
        <v>3639</v>
      </c>
      <c r="C6" s="129" t="s">
        <v>3640</v>
      </c>
    </row>
    <row r="7" spans="1:3" ht="15.5">
      <c r="A7" s="129">
        <v>5</v>
      </c>
      <c r="B7" s="129" t="s">
        <v>3641</v>
      </c>
      <c r="C7" s="129" t="s">
        <v>3642</v>
      </c>
    </row>
    <row r="8" spans="1:3" ht="15.5">
      <c r="A8" s="129">
        <v>6</v>
      </c>
      <c r="B8" s="129" t="s">
        <v>3643</v>
      </c>
      <c r="C8" s="129" t="s">
        <v>3644</v>
      </c>
    </row>
    <row r="9" spans="1:3" ht="15.5">
      <c r="A9" s="129">
        <v>7</v>
      </c>
      <c r="B9" s="129" t="s">
        <v>3645</v>
      </c>
      <c r="C9" s="129" t="s">
        <v>3646</v>
      </c>
    </row>
    <row r="10" spans="1:3" ht="15.5">
      <c r="A10" s="129">
        <v>8</v>
      </c>
      <c r="B10" s="129" t="s">
        <v>3647</v>
      </c>
      <c r="C10" s="129" t="s">
        <v>3648</v>
      </c>
    </row>
    <row r="11" spans="1:3" ht="15.5">
      <c r="A11" s="129">
        <v>9</v>
      </c>
      <c r="B11" s="129" t="s">
        <v>3649</v>
      </c>
      <c r="C11" s="129" t="s">
        <v>3650</v>
      </c>
    </row>
    <row r="12" spans="1:3" ht="15.5">
      <c r="B12" s="130"/>
    </row>
    <row r="13" spans="1:3" ht="15.5">
      <c r="A13" s="128" t="s">
        <v>3651</v>
      </c>
      <c r="B13" s="130"/>
    </row>
    <row r="14" spans="1:3" ht="15.5">
      <c r="A14" s="129">
        <v>10</v>
      </c>
      <c r="B14" s="129" t="s">
        <v>3652</v>
      </c>
      <c r="C14" s="129" t="s">
        <v>3653</v>
      </c>
    </row>
    <row r="15" spans="1:3" ht="15.5">
      <c r="A15" s="129">
        <v>11</v>
      </c>
      <c r="B15" s="129" t="s">
        <v>3654</v>
      </c>
      <c r="C15" s="129" t="s">
        <v>3655</v>
      </c>
    </row>
    <row r="16" spans="1:3" ht="15.5">
      <c r="A16" s="129">
        <v>12</v>
      </c>
      <c r="B16" s="129" t="s">
        <v>3656</v>
      </c>
      <c r="C16" s="129" t="s">
        <v>3657</v>
      </c>
    </row>
    <row r="17" spans="1:3" ht="15.5">
      <c r="A17" s="129">
        <v>13</v>
      </c>
      <c r="B17" s="129" t="s">
        <v>3658</v>
      </c>
      <c r="C17" s="129" t="s">
        <v>3659</v>
      </c>
    </row>
    <row r="18" spans="1:3" ht="15.5">
      <c r="A18" s="129">
        <v>14</v>
      </c>
      <c r="B18" s="129" t="s">
        <v>3660</v>
      </c>
      <c r="C18" s="129" t="s">
        <v>3661</v>
      </c>
    </row>
    <row r="19" spans="1:3" ht="15.5">
      <c r="A19" s="129">
        <v>15</v>
      </c>
      <c r="B19" s="129" t="s">
        <v>3662</v>
      </c>
      <c r="C19" s="129" t="s">
        <v>3663</v>
      </c>
    </row>
    <row r="20" spans="1:3" ht="15.5">
      <c r="A20" s="129">
        <v>16</v>
      </c>
      <c r="B20" s="129" t="s">
        <v>3664</v>
      </c>
      <c r="C20" s="129" t="s">
        <v>3665</v>
      </c>
    </row>
    <row r="21" spans="1:3" ht="15.5">
      <c r="A21" s="129">
        <v>17</v>
      </c>
      <c r="B21" s="129" t="s">
        <v>3666</v>
      </c>
      <c r="C21" s="129" t="s">
        <v>3667</v>
      </c>
    </row>
    <row r="22" spans="1:3" ht="15.5">
      <c r="A22" s="129">
        <v>18</v>
      </c>
      <c r="B22" s="129" t="s">
        <v>3668</v>
      </c>
      <c r="C22" s="129" t="s">
        <v>3669</v>
      </c>
    </row>
    <row r="23" spans="1:3" ht="15.5">
      <c r="A23" s="129">
        <v>19</v>
      </c>
      <c r="B23" s="129" t="s">
        <v>3670</v>
      </c>
      <c r="C23" s="129" t="s">
        <v>3671</v>
      </c>
    </row>
    <row r="24" spans="1:3" ht="15.5">
      <c r="A24" s="129">
        <v>20</v>
      </c>
      <c r="B24" s="129" t="s">
        <v>3672</v>
      </c>
      <c r="C24" s="129" t="s">
        <v>3673</v>
      </c>
    </row>
    <row r="25" spans="1:3" ht="15.5">
      <c r="A25" s="129">
        <v>21</v>
      </c>
      <c r="B25" s="129" t="s">
        <v>3674</v>
      </c>
      <c r="C25" s="129" t="s">
        <v>3675</v>
      </c>
    </row>
    <row r="26" spans="1:3" ht="15.5"/>
    <row r="27" spans="1:3" ht="15.5">
      <c r="A27" s="128" t="s">
        <v>3676</v>
      </c>
    </row>
    <row r="28" spans="1:3" ht="15.5">
      <c r="A28" s="129">
        <v>22</v>
      </c>
      <c r="B28" s="129" t="s">
        <v>3677</v>
      </c>
      <c r="C28" s="129" t="s">
        <v>3678</v>
      </c>
    </row>
    <row r="29" spans="1:3" ht="15.5">
      <c r="A29" s="129">
        <v>23</v>
      </c>
      <c r="B29" s="129" t="s">
        <v>3679</v>
      </c>
      <c r="C29" s="129" t="s">
        <v>3680</v>
      </c>
    </row>
    <row r="30" spans="1:3" ht="15.5">
      <c r="A30" s="129">
        <v>24</v>
      </c>
      <c r="B30" s="129" t="s">
        <v>3681</v>
      </c>
      <c r="C30" s="129" t="s">
        <v>3682</v>
      </c>
    </row>
    <row r="31" spans="1:3" ht="15.5">
      <c r="A31" s="129">
        <v>25</v>
      </c>
      <c r="B31" s="129" t="s">
        <v>3683</v>
      </c>
      <c r="C31" s="129" t="s">
        <v>3684</v>
      </c>
    </row>
    <row r="32" spans="1:3" ht="15.5">
      <c r="A32" s="129">
        <v>26</v>
      </c>
      <c r="B32" s="129" t="s">
        <v>3685</v>
      </c>
      <c r="C32" s="129" t="s">
        <v>3686</v>
      </c>
    </row>
    <row r="33" spans="1:3" ht="15.5">
      <c r="A33" s="129">
        <v>27</v>
      </c>
      <c r="B33" s="129" t="s">
        <v>3687</v>
      </c>
      <c r="C33" s="129" t="s">
        <v>3688</v>
      </c>
    </row>
    <row r="34" spans="1:3" ht="15.5">
      <c r="A34" s="129">
        <v>28</v>
      </c>
      <c r="B34" s="129" t="s">
        <v>3689</v>
      </c>
      <c r="C34" s="129" t="s">
        <v>3690</v>
      </c>
    </row>
    <row r="35" spans="1:3" ht="15.5">
      <c r="A35" s="129">
        <v>29</v>
      </c>
      <c r="B35" s="129" t="s">
        <v>3691</v>
      </c>
      <c r="C35" s="129" t="s">
        <v>3692</v>
      </c>
    </row>
    <row r="36" spans="1:3" ht="15.5">
      <c r="A36" s="129">
        <v>30</v>
      </c>
      <c r="B36" s="129" t="s">
        <v>3693</v>
      </c>
      <c r="C36" s="129" t="s">
        <v>3694</v>
      </c>
    </row>
    <row r="37" spans="1:3" ht="15.5">
      <c r="A37" s="129">
        <v>31</v>
      </c>
      <c r="B37" s="129" t="s">
        <v>3695</v>
      </c>
      <c r="C37" s="129" t="s">
        <v>3696</v>
      </c>
    </row>
    <row r="38" spans="1:3" ht="15.5">
      <c r="A38" s="129">
        <v>32</v>
      </c>
      <c r="B38" s="129" t="s">
        <v>3697</v>
      </c>
      <c r="C38" s="129" t="s">
        <v>3698</v>
      </c>
    </row>
    <row r="39" spans="1:3" ht="15.5">
      <c r="A39" s="131"/>
      <c r="B39" s="130"/>
    </row>
    <row r="40" spans="1:3" ht="15.5">
      <c r="A40" s="128" t="s">
        <v>3699</v>
      </c>
      <c r="B40" s="130"/>
    </row>
    <row r="41" spans="1:3" ht="15.5">
      <c r="A41" s="129">
        <v>33</v>
      </c>
      <c r="B41" s="129" t="s">
        <v>3700</v>
      </c>
      <c r="C41" s="129" t="s">
        <v>3701</v>
      </c>
    </row>
    <row r="42" spans="1:3" ht="15.5">
      <c r="A42" s="129">
        <v>34</v>
      </c>
      <c r="B42" s="129" t="s">
        <v>3702</v>
      </c>
      <c r="C42" s="129" t="s">
        <v>3703</v>
      </c>
    </row>
    <row r="43" spans="1:3" ht="15.5">
      <c r="A43" s="129">
        <v>35</v>
      </c>
      <c r="B43" s="129" t="s">
        <v>3704</v>
      </c>
      <c r="C43" s="129" t="s">
        <v>3705</v>
      </c>
    </row>
    <row r="44" spans="1:3" ht="15.5">
      <c r="A44" s="129">
        <v>36</v>
      </c>
      <c r="B44" s="129" t="s">
        <v>3706</v>
      </c>
      <c r="C44" s="129" t="s">
        <v>3707</v>
      </c>
    </row>
    <row r="45" spans="1:3" ht="15.5">
      <c r="A45" s="129">
        <v>37</v>
      </c>
      <c r="B45" s="129" t="s">
        <v>3708</v>
      </c>
      <c r="C45" s="129" t="s">
        <v>3709</v>
      </c>
    </row>
    <row r="46" spans="1:3" ht="15.5">
      <c r="A46" s="129">
        <v>38</v>
      </c>
      <c r="B46" s="129" t="s">
        <v>3710</v>
      </c>
      <c r="C46" s="129" t="s">
        <v>3711</v>
      </c>
    </row>
    <row r="47" spans="1:3" ht="15.5">
      <c r="A47" s="129">
        <v>39</v>
      </c>
      <c r="B47" s="129" t="s">
        <v>3712</v>
      </c>
      <c r="C47" s="129" t="s">
        <v>3713</v>
      </c>
    </row>
    <row r="48" spans="1:3" ht="15.5">
      <c r="A48" s="129">
        <v>40</v>
      </c>
      <c r="B48" s="129" t="s">
        <v>3714</v>
      </c>
      <c r="C48" s="129" t="s">
        <v>3715</v>
      </c>
    </row>
    <row r="49" spans="1:3" ht="15.5">
      <c r="A49" s="129">
        <v>41</v>
      </c>
      <c r="B49" s="129" t="s">
        <v>3716</v>
      </c>
      <c r="C49" s="129" t="s">
        <v>3717</v>
      </c>
    </row>
    <row r="50" spans="1:3" ht="15.5">
      <c r="A50" s="129">
        <v>42</v>
      </c>
      <c r="B50" s="129" t="s">
        <v>3718</v>
      </c>
      <c r="C50" s="129" t="s">
        <v>3719</v>
      </c>
    </row>
    <row r="51" spans="1:3" ht="15.5">
      <c r="A51" s="129">
        <v>43</v>
      </c>
      <c r="B51" s="129" t="s">
        <v>3720</v>
      </c>
      <c r="C51" s="129" t="s">
        <v>3721</v>
      </c>
    </row>
    <row r="52" spans="1:3" ht="15.5">
      <c r="A52" s="129">
        <v>44</v>
      </c>
      <c r="B52" s="129" t="s">
        <v>3722</v>
      </c>
      <c r="C52" s="129" t="s">
        <v>3723</v>
      </c>
    </row>
    <row r="53" spans="1:3" ht="15.5">
      <c r="A53" s="129">
        <v>45</v>
      </c>
      <c r="B53" s="129" t="s">
        <v>3724</v>
      </c>
      <c r="C53" s="129" t="s">
        <v>3725</v>
      </c>
    </row>
    <row r="54" spans="1:3" ht="15.5">
      <c r="B54" s="130"/>
    </row>
    <row r="55" spans="1:3" ht="15.5">
      <c r="A55" s="128" t="s">
        <v>3726</v>
      </c>
      <c r="B55" s="130"/>
    </row>
    <row r="56" spans="1:3" ht="15.5">
      <c r="A56" s="129">
        <v>46</v>
      </c>
      <c r="B56" s="129" t="s">
        <v>3727</v>
      </c>
      <c r="C56" s="129" t="s">
        <v>3728</v>
      </c>
    </row>
    <row r="57" spans="1:3" ht="15.5">
      <c r="A57" s="129">
        <v>47</v>
      </c>
      <c r="B57" s="129" t="s">
        <v>3729</v>
      </c>
      <c r="C57" s="129" t="s">
        <v>3730</v>
      </c>
    </row>
    <row r="58" spans="1:3" ht="15.5">
      <c r="A58" s="129">
        <v>48</v>
      </c>
      <c r="B58" s="129" t="s">
        <v>3731</v>
      </c>
      <c r="C58" s="129" t="s">
        <v>3732</v>
      </c>
    </row>
    <row r="59" spans="1:3" ht="15.5">
      <c r="A59" s="129">
        <v>49</v>
      </c>
      <c r="B59" s="129" t="s">
        <v>3733</v>
      </c>
      <c r="C59" s="129" t="s">
        <v>3734</v>
      </c>
    </row>
    <row r="60" spans="1:3" ht="15.5">
      <c r="A60" s="129">
        <v>50</v>
      </c>
      <c r="B60" s="129" t="s">
        <v>3735</v>
      </c>
      <c r="C60" s="129" t="s">
        <v>3736</v>
      </c>
    </row>
    <row r="61" spans="1:3" ht="15.5">
      <c r="A61" s="129">
        <v>51</v>
      </c>
      <c r="B61" s="129" t="s">
        <v>3737</v>
      </c>
      <c r="C61" s="129" t="s">
        <v>3738</v>
      </c>
    </row>
    <row r="62" spans="1:3" ht="17.25" customHeight="1">
      <c r="A62" s="129">
        <v>52</v>
      </c>
      <c r="B62" s="129" t="s">
        <v>3739</v>
      </c>
      <c r="C62" s="129" t="s">
        <v>3740</v>
      </c>
    </row>
    <row r="63" spans="1:3" ht="17.25" customHeight="1">
      <c r="A63" s="129">
        <v>53</v>
      </c>
      <c r="B63" s="129" t="s">
        <v>3741</v>
      </c>
      <c r="C63" s="129" t="s">
        <v>3742</v>
      </c>
    </row>
    <row r="64" spans="1:3" ht="17.25" customHeight="1">
      <c r="A64" s="129">
        <v>54</v>
      </c>
      <c r="B64" s="129" t="s">
        <v>3743</v>
      </c>
      <c r="C64" s="129" t="s">
        <v>3744</v>
      </c>
    </row>
    <row r="65" spans="1:3" ht="17.25" customHeight="1">
      <c r="A65" s="129">
        <v>55</v>
      </c>
      <c r="B65" s="129" t="s">
        <v>3745</v>
      </c>
      <c r="C65" s="129" t="s">
        <v>3746</v>
      </c>
    </row>
    <row r="66" spans="1:3" ht="17.25" customHeight="1">
      <c r="A66" s="129">
        <v>56</v>
      </c>
      <c r="B66" s="129" t="s">
        <v>3747</v>
      </c>
      <c r="C66" s="129" t="s">
        <v>3748</v>
      </c>
    </row>
    <row r="67" spans="1:3" ht="17.25" customHeight="1">
      <c r="A67" s="129">
        <v>57</v>
      </c>
      <c r="B67" s="129" t="s">
        <v>3749</v>
      </c>
      <c r="C67" s="129" t="s">
        <v>3750</v>
      </c>
    </row>
    <row r="68" spans="1:3" ht="17.25" customHeight="1">
      <c r="B68" s="130"/>
    </row>
    <row r="69" spans="1:3" ht="17.25" customHeight="1">
      <c r="A69" s="128" t="s">
        <v>3751</v>
      </c>
      <c r="B69" s="130"/>
    </row>
    <row r="70" spans="1:3" ht="17.25" customHeight="1">
      <c r="A70" s="129">
        <v>58</v>
      </c>
      <c r="B70" s="129" t="s">
        <v>3752</v>
      </c>
      <c r="C70" s="129" t="s">
        <v>3753</v>
      </c>
    </row>
    <row r="71" spans="1:3" ht="17.25" customHeight="1">
      <c r="A71" s="129">
        <v>59</v>
      </c>
      <c r="B71" s="129" t="s">
        <v>3754</v>
      </c>
      <c r="C71" s="129" t="s">
        <v>3755</v>
      </c>
    </row>
    <row r="72" spans="1:3" ht="17.25" customHeight="1">
      <c r="A72" s="129">
        <v>60</v>
      </c>
      <c r="B72" s="129" t="s">
        <v>3756</v>
      </c>
      <c r="C72" s="129" t="s">
        <v>3757</v>
      </c>
    </row>
    <row r="73" spans="1:3" ht="17.25" customHeight="1">
      <c r="A73" s="129">
        <v>61</v>
      </c>
      <c r="B73" s="129" t="s">
        <v>3758</v>
      </c>
      <c r="C73" s="129" t="s">
        <v>3759</v>
      </c>
    </row>
    <row r="74" spans="1:3" ht="17.25" customHeight="1">
      <c r="A74" s="129">
        <v>62</v>
      </c>
      <c r="B74" s="129" t="s">
        <v>3760</v>
      </c>
      <c r="C74" s="129" t="s">
        <v>3761</v>
      </c>
    </row>
    <row r="75" spans="1:3" ht="17.25" customHeight="1">
      <c r="A75" s="129">
        <v>63</v>
      </c>
      <c r="B75" s="129" t="s">
        <v>3762</v>
      </c>
      <c r="C75" s="129" t="s">
        <v>3763</v>
      </c>
    </row>
    <row r="76" spans="1:3" ht="15.5">
      <c r="A76" s="129">
        <v>64</v>
      </c>
      <c r="B76" s="129" t="s">
        <v>3764</v>
      </c>
      <c r="C76" s="129" t="s">
        <v>3765</v>
      </c>
    </row>
    <row r="77" spans="1:3" ht="15.5">
      <c r="A77" s="129">
        <v>65</v>
      </c>
      <c r="B77" s="129" t="s">
        <v>3766</v>
      </c>
      <c r="C77" s="129" t="s">
        <v>3767</v>
      </c>
    </row>
    <row r="78" spans="1:3" ht="15.5">
      <c r="A78" s="129">
        <v>66</v>
      </c>
      <c r="B78" s="129" t="s">
        <v>3768</v>
      </c>
      <c r="C78" s="129" t="s">
        <v>3769</v>
      </c>
    </row>
    <row r="79" spans="1:3" ht="15.5">
      <c r="A79" s="129">
        <v>67</v>
      </c>
      <c r="B79" s="129" t="s">
        <v>3770</v>
      </c>
      <c r="C79" s="129" t="s">
        <v>3771</v>
      </c>
    </row>
    <row r="80" spans="1:3" ht="15.5">
      <c r="A80" s="129">
        <v>68</v>
      </c>
      <c r="B80" s="129" t="s">
        <v>3772</v>
      </c>
      <c r="C80" s="129" t="s">
        <v>3773</v>
      </c>
    </row>
    <row r="81" spans="1:3" ht="15.5">
      <c r="A81" s="129">
        <v>69</v>
      </c>
      <c r="B81" s="129" t="s">
        <v>3774</v>
      </c>
      <c r="C81" s="129" t="s">
        <v>3775</v>
      </c>
    </row>
    <row r="82" spans="1:3" ht="15.5">
      <c r="B82" s="130"/>
    </row>
    <row r="83" spans="1:3" ht="15.5">
      <c r="A83" s="128" t="s">
        <v>3776</v>
      </c>
      <c r="B83" s="130"/>
    </row>
    <row r="84" spans="1:3" ht="15.5">
      <c r="A84" s="129">
        <v>70</v>
      </c>
      <c r="B84" s="129" t="s">
        <v>3777</v>
      </c>
      <c r="C84" s="129" t="s">
        <v>3778</v>
      </c>
    </row>
    <row r="85" spans="1:3" ht="15.5">
      <c r="A85" s="129">
        <v>71</v>
      </c>
      <c r="B85" s="129" t="s">
        <v>3779</v>
      </c>
      <c r="C85" s="129" t="s">
        <v>3780</v>
      </c>
    </row>
    <row r="86" spans="1:3" ht="15.5">
      <c r="A86" s="129">
        <v>72</v>
      </c>
      <c r="B86" s="129" t="s">
        <v>3781</v>
      </c>
      <c r="C86" s="129" t="s">
        <v>3782</v>
      </c>
    </row>
    <row r="87" spans="1:3" ht="15.5">
      <c r="A87" s="129">
        <v>73</v>
      </c>
      <c r="B87" s="129" t="s">
        <v>3783</v>
      </c>
      <c r="C87" s="129" t="s">
        <v>3784</v>
      </c>
    </row>
    <row r="88" spans="1:3" ht="15.5">
      <c r="A88" s="129">
        <v>74</v>
      </c>
      <c r="B88" s="129" t="s">
        <v>3785</v>
      </c>
      <c r="C88" s="129" t="s">
        <v>3786</v>
      </c>
    </row>
    <row r="89" spans="1:3" ht="15.5">
      <c r="A89" s="129">
        <v>75</v>
      </c>
      <c r="B89" s="129" t="s">
        <v>3787</v>
      </c>
      <c r="C89" s="129" t="s">
        <v>3788</v>
      </c>
    </row>
    <row r="90" spans="1:3" ht="15.5">
      <c r="A90" s="129">
        <v>76</v>
      </c>
      <c r="B90" s="129" t="s">
        <v>3789</v>
      </c>
      <c r="C90" s="129" t="s">
        <v>3790</v>
      </c>
    </row>
    <row r="91" spans="1:3" ht="15.5">
      <c r="A91" s="129">
        <v>77</v>
      </c>
      <c r="B91" s="129" t="s">
        <v>3791</v>
      </c>
      <c r="C91" s="129" t="s">
        <v>3792</v>
      </c>
    </row>
    <row r="92" spans="1:3" ht="15.5">
      <c r="A92" s="129">
        <v>78</v>
      </c>
      <c r="B92" s="129" t="s">
        <v>3793</v>
      </c>
      <c r="C92" s="129" t="s">
        <v>3794</v>
      </c>
    </row>
    <row r="93" spans="1:3" ht="15.5">
      <c r="A93" s="129">
        <v>79</v>
      </c>
      <c r="B93" s="129" t="s">
        <v>3795</v>
      </c>
      <c r="C93" s="129" t="s">
        <v>3796</v>
      </c>
    </row>
    <row r="94" spans="1:3" ht="15.5">
      <c r="A94" s="129">
        <v>80</v>
      </c>
      <c r="B94" s="129" t="s">
        <v>3797</v>
      </c>
      <c r="C94" s="129" t="s">
        <v>3798</v>
      </c>
    </row>
    <row r="95" spans="1:3" ht="15.5">
      <c r="B95" s="130"/>
    </row>
    <row r="96" spans="1:3" ht="15.5">
      <c r="A96" s="128" t="s">
        <v>3799</v>
      </c>
      <c r="B96" s="130"/>
    </row>
    <row r="97" spans="1:3" ht="15.5">
      <c r="A97" s="129">
        <v>81</v>
      </c>
      <c r="B97" s="129" t="s">
        <v>3800</v>
      </c>
      <c r="C97" s="129" t="s">
        <v>3801</v>
      </c>
    </row>
    <row r="98" spans="1:3" ht="15.5">
      <c r="A98" s="129">
        <v>82</v>
      </c>
      <c r="B98" s="129" t="s">
        <v>3802</v>
      </c>
      <c r="C98" s="129" t="s">
        <v>3803</v>
      </c>
    </row>
    <row r="99" spans="1:3" ht="15.5">
      <c r="A99" s="129">
        <v>83</v>
      </c>
      <c r="B99" s="129" t="s">
        <v>3804</v>
      </c>
      <c r="C99" s="129" t="s">
        <v>3805</v>
      </c>
    </row>
    <row r="100" spans="1:3" ht="15.5">
      <c r="A100" s="129">
        <v>84</v>
      </c>
      <c r="B100" s="129" t="s">
        <v>3806</v>
      </c>
      <c r="C100" s="129" t="s">
        <v>3807</v>
      </c>
    </row>
    <row r="101" spans="1:3" ht="15.5">
      <c r="A101" s="129">
        <v>85</v>
      </c>
      <c r="B101" s="129" t="s">
        <v>3808</v>
      </c>
      <c r="C101" s="129" t="s">
        <v>3809</v>
      </c>
    </row>
    <row r="102" spans="1:3" ht="15.5">
      <c r="A102" s="129">
        <v>86</v>
      </c>
      <c r="B102" s="129" t="s">
        <v>3810</v>
      </c>
      <c r="C102" s="129" t="s">
        <v>3811</v>
      </c>
    </row>
    <row r="103" spans="1:3" ht="15.5">
      <c r="A103" s="129">
        <v>87</v>
      </c>
      <c r="B103" s="129" t="s">
        <v>3812</v>
      </c>
      <c r="C103" s="129" t="s">
        <v>3813</v>
      </c>
    </row>
    <row r="104" spans="1:3" ht="15.5">
      <c r="A104" s="129">
        <v>88</v>
      </c>
      <c r="B104" s="129" t="s">
        <v>3814</v>
      </c>
      <c r="C104" s="129" t="s">
        <v>3815</v>
      </c>
    </row>
    <row r="105" spans="1:3" ht="15.5">
      <c r="A105" s="129">
        <v>89</v>
      </c>
      <c r="B105" s="129" t="s">
        <v>3816</v>
      </c>
      <c r="C105" s="129" t="s">
        <v>3817</v>
      </c>
    </row>
    <row r="106" spans="1:3" ht="15.5">
      <c r="A106" s="129">
        <v>90</v>
      </c>
      <c r="B106" s="129" t="s">
        <v>3818</v>
      </c>
      <c r="C106" s="129" t="s">
        <v>3819</v>
      </c>
    </row>
    <row r="107" spans="1:3" ht="15.5">
      <c r="B107" s="130"/>
    </row>
    <row r="108" spans="1:3" ht="15.5">
      <c r="A108" s="128" t="s">
        <v>3820</v>
      </c>
      <c r="B108" s="130"/>
    </row>
    <row r="109" spans="1:3" ht="15.5">
      <c r="A109" s="129">
        <v>91</v>
      </c>
      <c r="B109" s="130" t="s">
        <v>3821</v>
      </c>
      <c r="C109" s="129" t="s">
        <v>3822</v>
      </c>
    </row>
    <row r="110" spans="1:3" ht="15.5">
      <c r="A110" s="129">
        <v>92</v>
      </c>
      <c r="B110" s="130" t="s">
        <v>3823</v>
      </c>
      <c r="C110" s="129" t="s">
        <v>3824</v>
      </c>
    </row>
    <row r="111" spans="1:3" ht="15.5">
      <c r="A111" s="129">
        <v>93</v>
      </c>
      <c r="B111" s="130" t="s">
        <v>3825</v>
      </c>
      <c r="C111" s="129" t="s">
        <v>3826</v>
      </c>
    </row>
    <row r="112" spans="1:3" ht="15.5">
      <c r="A112" s="129">
        <v>94</v>
      </c>
      <c r="B112" s="130" t="s">
        <v>3827</v>
      </c>
      <c r="C112" s="129" t="s">
        <v>3828</v>
      </c>
    </row>
    <row r="113" spans="1:3" ht="15.5">
      <c r="A113" s="129">
        <v>95</v>
      </c>
      <c r="B113" s="130" t="s">
        <v>3829</v>
      </c>
      <c r="C113" s="129" t="s">
        <v>3830</v>
      </c>
    </row>
    <row r="114" spans="1:3" ht="15.5">
      <c r="A114" s="129">
        <v>96</v>
      </c>
      <c r="B114" s="130" t="s">
        <v>3831</v>
      </c>
      <c r="C114" s="129" t="s">
        <v>3832</v>
      </c>
    </row>
    <row r="115" spans="1:3" ht="15.5">
      <c r="A115" s="129">
        <v>97</v>
      </c>
      <c r="B115" s="130" t="s">
        <v>3833</v>
      </c>
      <c r="C115" s="129" t="s">
        <v>3834</v>
      </c>
    </row>
    <row r="116" spans="1:3" ht="15.5">
      <c r="A116" s="129">
        <v>98</v>
      </c>
      <c r="B116" s="130" t="s">
        <v>3835</v>
      </c>
      <c r="C116" s="129" t="s">
        <v>3836</v>
      </c>
    </row>
    <row r="117" spans="1:3" ht="15.5">
      <c r="A117" s="129">
        <v>99</v>
      </c>
      <c r="B117" s="130" t="s">
        <v>3837</v>
      </c>
      <c r="C117" s="129" t="s">
        <v>3838</v>
      </c>
    </row>
    <row r="118" spans="1:3" ht="15.5">
      <c r="B118" s="130"/>
    </row>
    <row r="119" spans="1:3" ht="15.5">
      <c r="A119" s="128" t="s">
        <v>3839</v>
      </c>
      <c r="B119" s="130"/>
    </row>
    <row r="120" spans="1:3" ht="15.5">
      <c r="A120" s="129">
        <v>100</v>
      </c>
      <c r="B120" s="130" t="s">
        <v>3840</v>
      </c>
      <c r="C120" s="129" t="s">
        <v>3841</v>
      </c>
    </row>
    <row r="121" spans="1:3" ht="15.5">
      <c r="A121" s="129">
        <v>101</v>
      </c>
      <c r="B121" s="130" t="s">
        <v>3842</v>
      </c>
      <c r="C121" s="129" t="s">
        <v>3843</v>
      </c>
    </row>
    <row r="122" spans="1:3" ht="15.5">
      <c r="A122" s="129">
        <v>102</v>
      </c>
      <c r="B122" s="130" t="s">
        <v>3844</v>
      </c>
      <c r="C122" s="129" t="s">
        <v>3845</v>
      </c>
    </row>
    <row r="123" spans="1:3" ht="15.5">
      <c r="A123" s="129">
        <v>103</v>
      </c>
      <c r="B123" s="130" t="s">
        <v>3846</v>
      </c>
      <c r="C123" s="129" t="s">
        <v>3847</v>
      </c>
    </row>
    <row r="124" spans="1:3" ht="15.5">
      <c r="A124" s="129">
        <v>104</v>
      </c>
      <c r="B124" s="130" t="s">
        <v>3848</v>
      </c>
      <c r="C124" s="129" t="s">
        <v>3849</v>
      </c>
    </row>
    <row r="125" spans="1:3" ht="15.5">
      <c r="A125" s="129">
        <v>105</v>
      </c>
      <c r="B125" s="130" t="s">
        <v>3850</v>
      </c>
      <c r="C125" s="129" t="s">
        <v>3851</v>
      </c>
    </row>
    <row r="126" spans="1:3" ht="15.5">
      <c r="A126" s="129">
        <v>106</v>
      </c>
      <c r="B126" s="130" t="s">
        <v>3852</v>
      </c>
      <c r="C126" s="129" t="s">
        <v>3853</v>
      </c>
    </row>
    <row r="127" spans="1:3" ht="15.5">
      <c r="A127" s="129">
        <v>107</v>
      </c>
      <c r="B127" s="130" t="s">
        <v>3854</v>
      </c>
      <c r="C127" s="129" t="s">
        <v>3855</v>
      </c>
    </row>
    <row r="128" spans="1:3" ht="15.5">
      <c r="A128" s="129">
        <v>108</v>
      </c>
      <c r="B128" s="130" t="s">
        <v>3856</v>
      </c>
      <c r="C128" s="129" t="s">
        <v>3857</v>
      </c>
    </row>
    <row r="129" spans="1:3" ht="15.5">
      <c r="A129" s="129">
        <v>109</v>
      </c>
      <c r="B129" s="130" t="s">
        <v>3858</v>
      </c>
      <c r="C129" s="129" t="s">
        <v>3859</v>
      </c>
    </row>
    <row r="131" spans="1:3" ht="15.5">
      <c r="A131" s="128" t="s">
        <v>3860</v>
      </c>
      <c r="B131" s="130"/>
    </row>
    <row r="132" spans="1:3" ht="15.5">
      <c r="A132" s="129">
        <v>110</v>
      </c>
      <c r="B132" s="129" t="s">
        <v>3861</v>
      </c>
      <c r="C132" s="129" t="s">
        <v>3862</v>
      </c>
    </row>
    <row r="133" spans="1:3" ht="15.5">
      <c r="A133" s="129">
        <v>111</v>
      </c>
      <c r="B133" s="129" t="s">
        <v>3863</v>
      </c>
      <c r="C133" s="129" t="s">
        <v>3864</v>
      </c>
    </row>
    <row r="134" spans="1:3" ht="15.5">
      <c r="A134" s="129">
        <v>112</v>
      </c>
      <c r="B134" s="129" t="s">
        <v>3865</v>
      </c>
      <c r="C134" s="129" t="s">
        <v>3866</v>
      </c>
    </row>
    <row r="135" spans="1:3" ht="15.5">
      <c r="A135" s="129">
        <v>113</v>
      </c>
      <c r="B135" s="129" t="s">
        <v>3867</v>
      </c>
      <c r="C135" s="132" t="s">
        <v>3868</v>
      </c>
    </row>
    <row r="136" spans="1:3" ht="15.5">
      <c r="A136" s="129">
        <v>114</v>
      </c>
      <c r="B136" s="129" t="s">
        <v>3869</v>
      </c>
      <c r="C136" s="129" t="s">
        <v>3870</v>
      </c>
    </row>
    <row r="137" spans="1:3" ht="15.5">
      <c r="A137" s="129">
        <v>115</v>
      </c>
      <c r="B137" s="129" t="s">
        <v>3871</v>
      </c>
      <c r="C137" s="129" t="s">
        <v>3872</v>
      </c>
    </row>
    <row r="138" spans="1:3" ht="15.5">
      <c r="A138" s="129">
        <v>116</v>
      </c>
      <c r="B138" s="129" t="s">
        <v>3873</v>
      </c>
      <c r="C138" s="129" t="s">
        <v>3874</v>
      </c>
    </row>
    <row r="139" spans="1:3" ht="15.5">
      <c r="A139" s="129">
        <v>117</v>
      </c>
      <c r="B139" s="129" t="s">
        <v>3875</v>
      </c>
      <c r="C139" s="129" t="s">
        <v>3876</v>
      </c>
    </row>
    <row r="140" spans="1:3" ht="15.5">
      <c r="A140" s="129">
        <v>118</v>
      </c>
      <c r="B140" s="129" t="s">
        <v>3877</v>
      </c>
      <c r="C140" s="129" t="s">
        <v>3878</v>
      </c>
    </row>
    <row r="141" spans="1:3" ht="15.5">
      <c r="A141" s="129">
        <v>119</v>
      </c>
      <c r="B141" s="129" t="s">
        <v>3879</v>
      </c>
      <c r="C141" s="129" t="s">
        <v>3880</v>
      </c>
    </row>
    <row r="142" spans="1:3" ht="15.5">
      <c r="A142" s="129">
        <v>120</v>
      </c>
      <c r="B142" s="129" t="s">
        <v>3881</v>
      </c>
      <c r="C142" s="129" t="s">
        <v>3882</v>
      </c>
    </row>
    <row r="143" spans="1:3" ht="15.5">
      <c r="A143" s="129">
        <v>121</v>
      </c>
      <c r="B143" s="129" t="s">
        <v>3883</v>
      </c>
      <c r="C143" s="129" t="s">
        <v>3884</v>
      </c>
    </row>
    <row r="144" spans="1:3" ht="15.5">
      <c r="A144" s="129">
        <v>122</v>
      </c>
      <c r="B144" s="129" t="s">
        <v>3885</v>
      </c>
      <c r="C144" s="129" t="s">
        <v>3886</v>
      </c>
    </row>
    <row r="145" spans="1:3" ht="15.5">
      <c r="A145" s="129">
        <v>123</v>
      </c>
      <c r="B145" s="129" t="s">
        <v>3887</v>
      </c>
      <c r="C145" s="129" t="s">
        <v>3888</v>
      </c>
    </row>
    <row r="146" spans="1:3" ht="15.5">
      <c r="A146" s="129">
        <v>124</v>
      </c>
      <c r="B146" s="129" t="s">
        <v>3889</v>
      </c>
      <c r="C146" s="129" t="s">
        <v>3890</v>
      </c>
    </row>
    <row r="147" spans="1:3" ht="15.5">
      <c r="A147" s="129">
        <v>125</v>
      </c>
      <c r="B147" s="129" t="s">
        <v>3891</v>
      </c>
      <c r="C147" s="129" t="s">
        <v>3892</v>
      </c>
    </row>
    <row r="148" spans="1:3" ht="15.5">
      <c r="A148" s="129">
        <v>126</v>
      </c>
      <c r="B148" s="129" t="s">
        <v>3893</v>
      </c>
      <c r="C148" s="129" t="s">
        <v>3894</v>
      </c>
    </row>
    <row r="149" spans="1:3" ht="15.5">
      <c r="A149" s="129">
        <v>127</v>
      </c>
      <c r="B149" s="129" t="s">
        <v>3895</v>
      </c>
      <c r="C149" s="129" t="s">
        <v>3896</v>
      </c>
    </row>
    <row r="150" spans="1:3" ht="15.5">
      <c r="A150" s="129">
        <v>128</v>
      </c>
      <c r="B150" s="129" t="s">
        <v>3897</v>
      </c>
      <c r="C150" s="129" t="s">
        <v>3898</v>
      </c>
    </row>
    <row r="151" spans="1:3" ht="15.5">
      <c r="A151" s="129">
        <v>129</v>
      </c>
      <c r="B151" s="129" t="s">
        <v>3899</v>
      </c>
      <c r="C151" s="129" t="s">
        <v>3900</v>
      </c>
    </row>
    <row r="152" spans="1:3" ht="15.5">
      <c r="A152" s="129">
        <v>130</v>
      </c>
      <c r="B152" s="129" t="s">
        <v>3901</v>
      </c>
      <c r="C152" s="129" t="s">
        <v>3902</v>
      </c>
    </row>
    <row r="153" spans="1:3" ht="15.5">
      <c r="A153" s="129">
        <v>131</v>
      </c>
      <c r="B153" s="129" t="s">
        <v>3903</v>
      </c>
      <c r="C153" s="129" t="s">
        <v>3904</v>
      </c>
    </row>
    <row r="154" spans="1:3" ht="15.5">
      <c r="A154" s="129">
        <v>132</v>
      </c>
      <c r="B154" s="129" t="s">
        <v>3905</v>
      </c>
      <c r="C154" s="129" t="s">
        <v>3906</v>
      </c>
    </row>
    <row r="155" spans="1:3" ht="15.5">
      <c r="A155" s="129">
        <v>133</v>
      </c>
      <c r="B155" s="129" t="s">
        <v>3907</v>
      </c>
      <c r="C155" s="129" t="s">
        <v>3908</v>
      </c>
    </row>
    <row r="156" spans="1:3" ht="15.5">
      <c r="A156" s="129">
        <v>134</v>
      </c>
      <c r="B156" s="129" t="s">
        <v>3909</v>
      </c>
      <c r="C156" s="129" t="s">
        <v>3910</v>
      </c>
    </row>
    <row r="157" spans="1:3" ht="15.5">
      <c r="A157" s="129">
        <v>135</v>
      </c>
      <c r="B157" s="129" t="s">
        <v>3911</v>
      </c>
      <c r="C157" s="129" t="s">
        <v>3912</v>
      </c>
    </row>
    <row r="158" spans="1:3" ht="15.5">
      <c r="A158" s="129">
        <v>136</v>
      </c>
      <c r="B158" s="129" t="s">
        <v>3913</v>
      </c>
      <c r="C158" s="129" t="s">
        <v>3914</v>
      </c>
    </row>
    <row r="159" spans="1:3" ht="15.5">
      <c r="A159" s="129">
        <v>137</v>
      </c>
      <c r="B159" s="129" t="s">
        <v>3915</v>
      </c>
      <c r="C159" s="129" t="s">
        <v>3916</v>
      </c>
    </row>
    <row r="160" spans="1:3" ht="15.5">
      <c r="A160" s="129">
        <v>138</v>
      </c>
      <c r="B160" s="129" t="s">
        <v>3917</v>
      </c>
      <c r="C160" s="129" t="s">
        <v>3918</v>
      </c>
    </row>
    <row r="161" spans="1:3" ht="15.5">
      <c r="A161" s="129">
        <v>139</v>
      </c>
      <c r="B161" s="129" t="s">
        <v>3919</v>
      </c>
      <c r="C161" s="129" t="s">
        <v>3920</v>
      </c>
    </row>
    <row r="162" spans="1:3" ht="15.5">
      <c r="A162" s="129">
        <v>140</v>
      </c>
      <c r="B162" s="129" t="s">
        <v>3921</v>
      </c>
      <c r="C162" s="129" t="s">
        <v>3922</v>
      </c>
    </row>
    <row r="163" spans="1:3" ht="15.5">
      <c r="A163" s="129">
        <v>141</v>
      </c>
      <c r="B163" s="129" t="s">
        <v>3923</v>
      </c>
      <c r="C163" s="129" t="s">
        <v>3924</v>
      </c>
    </row>
    <row r="164" spans="1:3" ht="15.5">
      <c r="A164" s="129">
        <v>142</v>
      </c>
      <c r="B164" s="129" t="s">
        <v>3925</v>
      </c>
      <c r="C164" s="129" t="s">
        <v>3926</v>
      </c>
    </row>
    <row r="165" spans="1:3" ht="15.5">
      <c r="A165" s="129">
        <v>143</v>
      </c>
      <c r="B165" s="129" t="s">
        <v>3927</v>
      </c>
      <c r="C165" s="129" t="s">
        <v>3928</v>
      </c>
    </row>
    <row r="166" spans="1:3" ht="15.5">
      <c r="A166" s="129">
        <v>144</v>
      </c>
      <c r="B166" s="129" t="s">
        <v>3929</v>
      </c>
      <c r="C166" s="129" t="s">
        <v>3930</v>
      </c>
    </row>
    <row r="167" spans="1:3" ht="15.5">
      <c r="A167" s="129">
        <v>145</v>
      </c>
      <c r="B167" s="129" t="s">
        <v>3931</v>
      </c>
      <c r="C167" s="129" t="s">
        <v>3932</v>
      </c>
    </row>
    <row r="168" spans="1:3" ht="15.5">
      <c r="A168" s="129">
        <v>146</v>
      </c>
      <c r="B168" s="129" t="s">
        <v>3933</v>
      </c>
      <c r="C168" s="129" t="s">
        <v>3934</v>
      </c>
    </row>
    <row r="169" spans="1:3" ht="15.5">
      <c r="A169" s="129">
        <v>147</v>
      </c>
      <c r="B169" s="129" t="s">
        <v>3935</v>
      </c>
      <c r="C169" s="129" t="s">
        <v>3936</v>
      </c>
    </row>
    <row r="170" spans="1:3" ht="15.5">
      <c r="A170" s="129">
        <v>148</v>
      </c>
      <c r="B170" s="129" t="s">
        <v>3937</v>
      </c>
      <c r="C170" s="129" t="s">
        <v>3938</v>
      </c>
    </row>
    <row r="171" spans="1:3" ht="15.5">
      <c r="A171" s="129">
        <v>149</v>
      </c>
      <c r="B171" s="129" t="s">
        <v>3939</v>
      </c>
      <c r="C171" s="132" t="s">
        <v>3940</v>
      </c>
    </row>
    <row r="172" spans="1:3" ht="15.5">
      <c r="A172" s="129">
        <v>150</v>
      </c>
      <c r="B172" s="129" t="s">
        <v>3941</v>
      </c>
      <c r="C172" s="129" t="s">
        <v>3942</v>
      </c>
    </row>
    <row r="173" spans="1:3" ht="15.5">
      <c r="A173" s="129">
        <v>151</v>
      </c>
      <c r="B173" s="129" t="s">
        <v>3943</v>
      </c>
      <c r="C173" s="129" t="s">
        <v>3944</v>
      </c>
    </row>
    <row r="174" spans="1:3" ht="15.5">
      <c r="A174" s="129">
        <v>152</v>
      </c>
      <c r="B174" s="129" t="s">
        <v>3945</v>
      </c>
      <c r="C174" s="129" t="s">
        <v>3946</v>
      </c>
    </row>
    <row r="175" spans="1:3" ht="15.5">
      <c r="A175" s="129">
        <v>153</v>
      </c>
      <c r="B175" s="129" t="s">
        <v>3947</v>
      </c>
      <c r="C175" s="129" t="s">
        <v>3948</v>
      </c>
    </row>
    <row r="176" spans="1:3" ht="15.5">
      <c r="A176" s="129">
        <v>154</v>
      </c>
      <c r="B176" s="129" t="s">
        <v>3949</v>
      </c>
      <c r="C176" s="129" t="s">
        <v>3950</v>
      </c>
    </row>
    <row r="177" spans="1:3" ht="15.5">
      <c r="A177" s="129">
        <v>155</v>
      </c>
      <c r="B177" s="129" t="s">
        <v>3951</v>
      </c>
      <c r="C177" s="132" t="s">
        <v>3952</v>
      </c>
    </row>
    <row r="178" spans="1:3" ht="15.5">
      <c r="A178" s="129">
        <v>156</v>
      </c>
      <c r="B178" s="129" t="s">
        <v>3953</v>
      </c>
      <c r="C178" s="129" t="s">
        <v>3954</v>
      </c>
    </row>
    <row r="179" spans="1:3" ht="15.5">
      <c r="A179" s="129">
        <v>157</v>
      </c>
      <c r="B179" s="129" t="s">
        <v>3955</v>
      </c>
      <c r="C179" s="129" t="s">
        <v>3956</v>
      </c>
    </row>
    <row r="180" spans="1:3" ht="15.5">
      <c r="A180" s="129">
        <v>158</v>
      </c>
      <c r="B180" s="129" t="s">
        <v>3957</v>
      </c>
      <c r="C180" s="129" t="s">
        <v>3958</v>
      </c>
    </row>
    <row r="181" spans="1:3" ht="15.5">
      <c r="A181" s="129">
        <v>159</v>
      </c>
      <c r="B181" s="129" t="s">
        <v>3959</v>
      </c>
      <c r="C181" s="129" t="s">
        <v>3960</v>
      </c>
    </row>
    <row r="182" spans="1:3" ht="15.5">
      <c r="A182" s="129">
        <v>160</v>
      </c>
      <c r="B182" s="129" t="s">
        <v>3961</v>
      </c>
      <c r="C182" s="129" t="s">
        <v>3962</v>
      </c>
    </row>
    <row r="183" spans="1:3" ht="15.5">
      <c r="A183" s="129">
        <v>161</v>
      </c>
      <c r="B183" s="129" t="s">
        <v>3963</v>
      </c>
      <c r="C183" s="129" t="s">
        <v>3964</v>
      </c>
    </row>
    <row r="184" spans="1:3" ht="15.5">
      <c r="A184" s="129">
        <v>162</v>
      </c>
      <c r="B184" s="129" t="s">
        <v>3965</v>
      </c>
      <c r="C184" s="129" t="s">
        <v>3966</v>
      </c>
    </row>
    <row r="185" spans="1:3" ht="15.5">
      <c r="A185" s="129">
        <v>163</v>
      </c>
      <c r="B185" s="129" t="s">
        <v>3967</v>
      </c>
      <c r="C185" s="129" t="s">
        <v>3968</v>
      </c>
    </row>
    <row r="186" spans="1:3" ht="15.5">
      <c r="A186" s="129">
        <v>164</v>
      </c>
      <c r="B186" s="129" t="s">
        <v>3969</v>
      </c>
      <c r="C186" s="129" t="s">
        <v>3970</v>
      </c>
    </row>
    <row r="187" spans="1:3" ht="15.5">
      <c r="A187" s="129">
        <v>165</v>
      </c>
      <c r="B187" s="129" t="s">
        <v>3971</v>
      </c>
      <c r="C187" s="129" t="s">
        <v>3972</v>
      </c>
    </row>
    <row r="188" spans="1:3" ht="15.5">
      <c r="A188" s="129">
        <v>166</v>
      </c>
      <c r="B188" s="129" t="s">
        <v>3973</v>
      </c>
      <c r="C188" s="129" t="s">
        <v>3974</v>
      </c>
    </row>
    <row r="189" spans="1:3" ht="15.5">
      <c r="A189" s="129">
        <v>167</v>
      </c>
      <c r="B189" s="129" t="s">
        <v>3975</v>
      </c>
      <c r="C189" s="129" t="s">
        <v>3976</v>
      </c>
    </row>
    <row r="190" spans="1:3" ht="15.5">
      <c r="A190" s="129">
        <v>168</v>
      </c>
      <c r="B190" s="129" t="s">
        <v>3977</v>
      </c>
      <c r="C190" s="129" t="s">
        <v>3978</v>
      </c>
    </row>
    <row r="191" spans="1:3" ht="15.5">
      <c r="A191" s="129">
        <v>169</v>
      </c>
      <c r="B191" s="129" t="s">
        <v>3979</v>
      </c>
      <c r="C191" s="129" t="s">
        <v>3980</v>
      </c>
    </row>
    <row r="192" spans="1:3" ht="15.5">
      <c r="A192" s="129">
        <v>170</v>
      </c>
      <c r="B192" s="129" t="s">
        <v>3981</v>
      </c>
      <c r="C192" s="129" t="s">
        <v>3982</v>
      </c>
    </row>
    <row r="193" spans="1:3" ht="15.5">
      <c r="A193" s="129">
        <v>171</v>
      </c>
      <c r="B193" s="129" t="s">
        <v>3983</v>
      </c>
      <c r="C193" s="129" t="s">
        <v>3984</v>
      </c>
    </row>
    <row r="194" spans="1:3" ht="15.5">
      <c r="A194" s="129">
        <v>172</v>
      </c>
      <c r="B194" s="129" t="s">
        <v>3985</v>
      </c>
      <c r="C194" s="132" t="s">
        <v>3986</v>
      </c>
    </row>
    <row r="195" spans="1:3" ht="15.5">
      <c r="A195" s="129">
        <v>173</v>
      </c>
      <c r="B195" s="129" t="s">
        <v>3987</v>
      </c>
      <c r="C195" s="129" t="s">
        <v>3988</v>
      </c>
    </row>
    <row r="196" spans="1:3" ht="15.5">
      <c r="A196" s="129">
        <v>174</v>
      </c>
      <c r="B196" s="129" t="s">
        <v>3989</v>
      </c>
      <c r="C196" s="129" t="s">
        <v>3990</v>
      </c>
    </row>
    <row r="197" spans="1:3" ht="15.5">
      <c r="A197" s="129">
        <v>175</v>
      </c>
      <c r="B197" s="129" t="s">
        <v>3991</v>
      </c>
      <c r="C197" s="129" t="s">
        <v>3992</v>
      </c>
    </row>
    <row r="198" spans="1:3" ht="15.5">
      <c r="A198" s="129">
        <v>176</v>
      </c>
      <c r="B198" s="129" t="s">
        <v>3993</v>
      </c>
      <c r="C198" s="129" t="s">
        <v>3994</v>
      </c>
    </row>
    <row r="199" spans="1:3" ht="15.5">
      <c r="A199" s="129">
        <v>177</v>
      </c>
      <c r="B199" s="129" t="s">
        <v>3995</v>
      </c>
      <c r="C199" s="132" t="s">
        <v>3996</v>
      </c>
    </row>
    <row r="200" spans="1:3" ht="15.5">
      <c r="A200" s="129">
        <v>178</v>
      </c>
      <c r="B200" s="129" t="s">
        <v>3997</v>
      </c>
      <c r="C200" s="129" t="s">
        <v>3998</v>
      </c>
    </row>
    <row r="201" spans="1:3" ht="15.5">
      <c r="A201" s="129">
        <v>179</v>
      </c>
      <c r="B201" s="129" t="s">
        <v>3999</v>
      </c>
      <c r="C201" s="129" t="s">
        <v>4000</v>
      </c>
    </row>
    <row r="202" spans="1:3" ht="15.5">
      <c r="A202" s="129">
        <v>180</v>
      </c>
      <c r="B202" s="129" t="s">
        <v>4001</v>
      </c>
      <c r="C202" s="129" t="s">
        <v>4002</v>
      </c>
    </row>
    <row r="203" spans="1:3" ht="15.5">
      <c r="A203" s="129">
        <v>181</v>
      </c>
      <c r="B203" s="129" t="s">
        <v>4003</v>
      </c>
      <c r="C203" s="129" t="s">
        <v>4004</v>
      </c>
    </row>
    <row r="204" spans="1:3" ht="15.5">
      <c r="A204" s="129">
        <v>182</v>
      </c>
      <c r="B204" s="129" t="s">
        <v>4005</v>
      </c>
      <c r="C204" s="132" t="s">
        <v>4006</v>
      </c>
    </row>
    <row r="205" spans="1:3" ht="15.5">
      <c r="A205" s="129">
        <v>183</v>
      </c>
      <c r="B205" s="129" t="s">
        <v>4007</v>
      </c>
      <c r="C205" s="129" t="s">
        <v>4008</v>
      </c>
    </row>
    <row r="206" spans="1:3" ht="15.5">
      <c r="A206" s="129">
        <v>184</v>
      </c>
      <c r="B206" s="129" t="s">
        <v>4009</v>
      </c>
      <c r="C206" s="129" t="s">
        <v>4010</v>
      </c>
    </row>
    <row r="207" spans="1:3" ht="15.5">
      <c r="A207" s="129">
        <v>185</v>
      </c>
      <c r="B207" s="129" t="s">
        <v>4011</v>
      </c>
      <c r="C207" s="129" t="s">
        <v>4012</v>
      </c>
    </row>
    <row r="208" spans="1:3" ht="15.5">
      <c r="A208" s="129">
        <v>186</v>
      </c>
      <c r="B208" s="129" t="s">
        <v>4013</v>
      </c>
      <c r="C208" s="129" t="s">
        <v>4014</v>
      </c>
    </row>
    <row r="209" spans="1:3" ht="15.5">
      <c r="A209" s="129">
        <v>187</v>
      </c>
      <c r="B209" s="129" t="s">
        <v>4015</v>
      </c>
      <c r="C209" s="129" t="s">
        <v>4016</v>
      </c>
    </row>
    <row r="210" spans="1:3" ht="15.5">
      <c r="A210" s="129">
        <v>188</v>
      </c>
      <c r="B210" s="129" t="s">
        <v>4017</v>
      </c>
      <c r="C210" s="129" t="s">
        <v>4018</v>
      </c>
    </row>
    <row r="211" spans="1:3" ht="15.5">
      <c r="A211" s="129">
        <v>189</v>
      </c>
      <c r="B211" s="129" t="s">
        <v>4019</v>
      </c>
      <c r="C211" s="129" t="s">
        <v>4020</v>
      </c>
    </row>
    <row r="212" spans="1:3" ht="15.5">
      <c r="A212" s="129">
        <v>190</v>
      </c>
      <c r="B212" s="129" t="s">
        <v>4021</v>
      </c>
      <c r="C212" s="129" t="s">
        <v>4022</v>
      </c>
    </row>
    <row r="213" spans="1:3" ht="15.5">
      <c r="A213" s="129">
        <v>191</v>
      </c>
      <c r="B213" s="129" t="s">
        <v>4023</v>
      </c>
      <c r="C213" s="129" t="s">
        <v>4024</v>
      </c>
    </row>
    <row r="214" spans="1:3" ht="15.5">
      <c r="A214" s="129">
        <v>192</v>
      </c>
      <c r="B214" s="129" t="s">
        <v>4025</v>
      </c>
      <c r="C214" s="129" t="s">
        <v>4026</v>
      </c>
    </row>
    <row r="215" spans="1:3" ht="15.5">
      <c r="A215" s="129">
        <v>193</v>
      </c>
      <c r="B215" s="129" t="s">
        <v>4027</v>
      </c>
      <c r="C215" s="129" t="s">
        <v>4028</v>
      </c>
    </row>
    <row r="216" spans="1:3" ht="15.5">
      <c r="A216" s="129">
        <v>194</v>
      </c>
      <c r="B216" s="129" t="s">
        <v>4029</v>
      </c>
      <c r="C216" s="129" t="s">
        <v>4030</v>
      </c>
    </row>
    <row r="217" spans="1:3" ht="15.5">
      <c r="A217" s="129">
        <v>195</v>
      </c>
      <c r="B217" s="129" t="s">
        <v>4031</v>
      </c>
      <c r="C217" s="129" t="s">
        <v>4032</v>
      </c>
    </row>
    <row r="218" spans="1:3" ht="15.5">
      <c r="A218" s="129">
        <v>196</v>
      </c>
      <c r="B218" s="129" t="s">
        <v>4033</v>
      </c>
      <c r="C218" s="132" t="s">
        <v>4034</v>
      </c>
    </row>
    <row r="219" spans="1:3" ht="15.5">
      <c r="A219" s="129">
        <v>197</v>
      </c>
      <c r="B219" s="129" t="s">
        <v>4035</v>
      </c>
      <c r="C219" s="129" t="s">
        <v>4036</v>
      </c>
    </row>
    <row r="220" spans="1:3" ht="15.5">
      <c r="A220" s="129">
        <v>198</v>
      </c>
      <c r="B220" s="129" t="s">
        <v>4037</v>
      </c>
      <c r="C220" s="129" t="s">
        <v>4038</v>
      </c>
    </row>
    <row r="221" spans="1:3" ht="15.5"/>
    <row r="222" spans="1:3" ht="15.5"/>
    <row r="223" spans="1:3" ht="15.5"/>
    <row r="224" spans="1:3" ht="15.5"/>
    <row r="225" ht="15.5"/>
    <row r="226" ht="15.5"/>
    <row r="227" ht="15.5"/>
    <row r="228" ht="15.5"/>
    <row r="229" ht="15.5"/>
    <row r="230" ht="15.5"/>
    <row r="231" ht="15.5"/>
    <row r="232" ht="15.5"/>
    <row r="233" ht="15.5"/>
    <row r="234" ht="15.5"/>
    <row r="235" ht="15.5"/>
    <row r="236" ht="15.5"/>
    <row r="237" ht="15.5"/>
    <row r="238" ht="15.5"/>
    <row r="239" ht="15.5"/>
    <row r="240" ht="15.5"/>
    <row r="241" ht="15.5"/>
    <row r="242" ht="15.5"/>
    <row r="243" ht="15.5"/>
  </sheetData>
  <phoneticPr fontId="3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学员分组-二次确认参加</vt:lpstr>
      <vt:lpstr>学员积分明细(12.9备份)</vt:lpstr>
      <vt:lpstr>专业词汇必背-机械</vt:lpstr>
      <vt:lpstr>专业词汇必背-电气</vt:lpstr>
      <vt:lpstr>客户评审观点及问题-机械</vt:lpstr>
      <vt:lpstr>会议常用口语</vt:lpstr>
      <vt:lpstr>商务英语交流常用必背句子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MINO</cp:lastModifiedBy>
  <dcterms:created xsi:type="dcterms:W3CDTF">2025-05-16T10:30:41Z</dcterms:created>
  <dcterms:modified xsi:type="dcterms:W3CDTF">2025-05-16T02:36:58Z</dcterms:modified>
</cp:coreProperties>
</file>